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árcio\Documents\Curso excel dio\Desafios\"/>
    </mc:Choice>
  </mc:AlternateContent>
  <xr:revisionPtr revIDLastSave="0" documentId="13_ncr:1_{AD514937-F4C9-4354-BB34-AF0B679302B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imulador" sheetId="1" r:id="rId1"/>
    <sheet name="Evolução Mensal" sheetId="2" r:id="rId2"/>
    <sheet name="Gráfic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4" i="2" l="1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E5" i="2"/>
  <c r="F5" i="2" s="1"/>
  <c r="D5" i="2"/>
  <c r="D6" i="2" s="1"/>
  <c r="E6" i="2" s="1"/>
  <c r="C5" i="2"/>
  <c r="C16" i="1"/>
  <c r="F7" i="1" s="1"/>
  <c r="C13" i="1"/>
  <c r="C12" i="1"/>
  <c r="F5" i="1" s="1"/>
  <c r="F9" i="1"/>
  <c r="F8" i="1"/>
  <c r="F6" i="1"/>
  <c r="C15" i="1" l="1"/>
  <c r="C14" i="1"/>
  <c r="D7" i="2"/>
  <c r="C17" i="1"/>
  <c r="F6" i="2"/>
  <c r="D8" i="2" l="1"/>
  <c r="E7" i="2"/>
  <c r="F7" i="2" s="1"/>
  <c r="D9" i="2" l="1"/>
  <c r="E8" i="2"/>
  <c r="F8" i="2" s="1"/>
  <c r="D10" i="2" l="1"/>
  <c r="E9" i="2"/>
  <c r="F9" i="2" s="1"/>
  <c r="E10" i="2" l="1"/>
  <c r="F10" i="2" s="1"/>
  <c r="D11" i="2"/>
  <c r="F11" i="2" l="1"/>
  <c r="E11" i="2"/>
  <c r="D12" i="2"/>
  <c r="F12" i="2" l="1"/>
  <c r="D13" i="2"/>
  <c r="E12" i="2"/>
  <c r="E13" i="2" l="1"/>
  <c r="F13" i="2" s="1"/>
  <c r="D14" i="2"/>
  <c r="D15" i="2" l="1"/>
  <c r="E14" i="2"/>
  <c r="F14" i="2" s="1"/>
  <c r="D16" i="2" l="1"/>
  <c r="E15" i="2"/>
  <c r="F15" i="2" s="1"/>
  <c r="D17" i="2" l="1"/>
  <c r="E16" i="2"/>
  <c r="F16" i="2" s="1"/>
  <c r="E17" i="2" l="1"/>
  <c r="F17" i="2" s="1"/>
  <c r="D18" i="2"/>
  <c r="D19" i="2" l="1"/>
  <c r="E18" i="2"/>
  <c r="F18" i="2" s="1"/>
  <c r="D20" i="2" l="1"/>
  <c r="E19" i="2"/>
  <c r="F19" i="2" s="1"/>
  <c r="D21" i="2" l="1"/>
  <c r="E20" i="2"/>
  <c r="F20" i="2" s="1"/>
  <c r="E21" i="2" l="1"/>
  <c r="F21" i="2" s="1"/>
  <c r="D22" i="2"/>
  <c r="D23" i="2" l="1"/>
  <c r="E22" i="2"/>
  <c r="F22" i="2" s="1"/>
  <c r="D24" i="2" l="1"/>
  <c r="E23" i="2"/>
  <c r="F23" i="2" s="1"/>
  <c r="E24" i="2" l="1"/>
  <c r="F24" i="2" s="1"/>
  <c r="D25" i="2"/>
  <c r="D26" i="2" l="1"/>
  <c r="E25" i="2"/>
  <c r="F25" i="2" s="1"/>
  <c r="D27" i="2" l="1"/>
  <c r="E26" i="2"/>
  <c r="F26" i="2" s="1"/>
  <c r="D28" i="2" l="1"/>
  <c r="E27" i="2"/>
  <c r="F27" i="2" s="1"/>
  <c r="E28" i="2" l="1"/>
  <c r="F28" i="2" s="1"/>
  <c r="D29" i="2"/>
  <c r="E29" i="2" l="1"/>
  <c r="F29" i="2" s="1"/>
  <c r="D30" i="2"/>
  <c r="D31" i="2" l="1"/>
  <c r="E30" i="2"/>
  <c r="F30" i="2" s="1"/>
  <c r="E31" i="2" l="1"/>
  <c r="F31" i="2" s="1"/>
  <c r="D32" i="2"/>
  <c r="D33" i="2" l="1"/>
  <c r="E32" i="2"/>
  <c r="F32" i="2" s="1"/>
  <c r="D34" i="2" l="1"/>
  <c r="E33" i="2"/>
  <c r="F33" i="2" s="1"/>
  <c r="D35" i="2" l="1"/>
  <c r="E34" i="2"/>
  <c r="F34" i="2" s="1"/>
  <c r="E35" i="2" l="1"/>
  <c r="F35" i="2" s="1"/>
  <c r="D36" i="2"/>
  <c r="D37" i="2" l="1"/>
  <c r="E36" i="2"/>
  <c r="F36" i="2" s="1"/>
  <c r="E37" i="2" l="1"/>
  <c r="F37" i="2" s="1"/>
  <c r="D38" i="2"/>
  <c r="D39" i="2" l="1"/>
  <c r="E38" i="2"/>
  <c r="F38" i="2" s="1"/>
  <c r="D40" i="2" l="1"/>
  <c r="E39" i="2"/>
  <c r="F39" i="2" s="1"/>
  <c r="E40" i="2" l="1"/>
  <c r="F40" i="2" s="1"/>
  <c r="D41" i="2"/>
  <c r="D42" i="2" l="1"/>
  <c r="E41" i="2"/>
  <c r="F41" i="2" s="1"/>
  <c r="E42" i="2" l="1"/>
  <c r="F42" i="2" s="1"/>
  <c r="D43" i="2"/>
  <c r="D44" i="2" l="1"/>
  <c r="E43" i="2"/>
  <c r="F43" i="2" s="1"/>
  <c r="E44" i="2" l="1"/>
  <c r="F44" i="2" s="1"/>
  <c r="D45" i="2"/>
  <c r="D46" i="2" l="1"/>
  <c r="E45" i="2"/>
  <c r="F45" i="2" s="1"/>
  <c r="E46" i="2" l="1"/>
  <c r="F46" i="2" s="1"/>
  <c r="D47" i="2"/>
  <c r="E47" i="2" l="1"/>
  <c r="F47" i="2" s="1"/>
  <c r="D48" i="2"/>
  <c r="D49" i="2" l="1"/>
  <c r="E48" i="2"/>
  <c r="F48" i="2" s="1"/>
  <c r="D50" i="2" l="1"/>
  <c r="E49" i="2"/>
  <c r="F49" i="2" s="1"/>
  <c r="E50" i="2" l="1"/>
  <c r="F50" i="2" s="1"/>
  <c r="D51" i="2"/>
  <c r="D52" i="2" l="1"/>
  <c r="E51" i="2"/>
  <c r="F51" i="2" s="1"/>
  <c r="D53" i="2" l="1"/>
  <c r="E52" i="2"/>
  <c r="F52" i="2" s="1"/>
  <c r="F53" i="2" l="1"/>
  <c r="E53" i="2"/>
  <c r="D54" i="2"/>
  <c r="F54" i="2" l="1"/>
  <c r="E54" i="2"/>
  <c r="D55" i="2"/>
  <c r="D56" i="2" l="1"/>
  <c r="E55" i="2"/>
  <c r="F55" i="2" s="1"/>
  <c r="E56" i="2" l="1"/>
  <c r="F56" i="2" s="1"/>
  <c r="D57" i="2"/>
  <c r="D58" i="2" l="1"/>
  <c r="E57" i="2"/>
  <c r="F57" i="2" s="1"/>
  <c r="E58" i="2" l="1"/>
  <c r="F58" i="2" s="1"/>
  <c r="D59" i="2"/>
  <c r="E59" i="2" l="1"/>
  <c r="F59" i="2" s="1"/>
  <c r="D60" i="2"/>
  <c r="D61" i="2" l="1"/>
  <c r="E60" i="2"/>
  <c r="F60" i="2" s="1"/>
  <c r="D62" i="2" l="1"/>
  <c r="E61" i="2"/>
  <c r="F61" i="2" s="1"/>
  <c r="E62" i="2" l="1"/>
  <c r="F62" i="2" s="1"/>
  <c r="D63" i="2"/>
  <c r="D64" i="2" l="1"/>
  <c r="E63" i="2"/>
  <c r="F63" i="2" s="1"/>
  <c r="D65" i="2" l="1"/>
  <c r="E64" i="2"/>
  <c r="F64" i="2" s="1"/>
  <c r="E65" i="2" l="1"/>
  <c r="F65" i="2" s="1"/>
  <c r="D66" i="2"/>
  <c r="E66" i="2" l="1"/>
  <c r="F66" i="2" s="1"/>
  <c r="D67" i="2"/>
  <c r="D68" i="2" l="1"/>
  <c r="E67" i="2"/>
  <c r="F67" i="2" s="1"/>
  <c r="E68" i="2" l="1"/>
  <c r="F68" i="2" s="1"/>
  <c r="D69" i="2"/>
  <c r="D70" i="2" l="1"/>
  <c r="E69" i="2"/>
  <c r="F69" i="2" s="1"/>
  <c r="E70" i="2" l="1"/>
  <c r="F70" i="2" s="1"/>
  <c r="D71" i="2"/>
  <c r="E71" i="2" l="1"/>
  <c r="F71" i="2" s="1"/>
  <c r="D72" i="2"/>
  <c r="D73" i="2" l="1"/>
  <c r="E72" i="2"/>
  <c r="F72" i="2" s="1"/>
  <c r="F73" i="2" l="1"/>
  <c r="D74" i="2"/>
  <c r="E73" i="2"/>
  <c r="E74" i="2" l="1"/>
  <c r="F74" i="2" s="1"/>
  <c r="D75" i="2"/>
  <c r="D76" i="2" l="1"/>
  <c r="E75" i="2"/>
  <c r="F75" i="2" s="1"/>
  <c r="D77" i="2" l="1"/>
  <c r="E76" i="2"/>
  <c r="F76" i="2" s="1"/>
  <c r="E77" i="2" l="1"/>
  <c r="F77" i="2" s="1"/>
  <c r="D78" i="2"/>
  <c r="E78" i="2" l="1"/>
  <c r="F78" i="2" s="1"/>
  <c r="D79" i="2"/>
  <c r="D80" i="2" l="1"/>
  <c r="E79" i="2"/>
  <c r="F79" i="2" s="1"/>
  <c r="E80" i="2" l="1"/>
  <c r="F80" i="2" s="1"/>
  <c r="D81" i="2"/>
  <c r="D82" i="2" l="1"/>
  <c r="E81" i="2"/>
  <c r="F81" i="2" s="1"/>
  <c r="E82" i="2" l="1"/>
  <c r="F82" i="2" s="1"/>
  <c r="D83" i="2"/>
  <c r="E83" i="2" l="1"/>
  <c r="F83" i="2" s="1"/>
  <c r="D84" i="2"/>
  <c r="D85" i="2" l="1"/>
  <c r="E84" i="2"/>
  <c r="F84" i="2" s="1"/>
  <c r="D86" i="2" l="1"/>
  <c r="E85" i="2"/>
  <c r="F85" i="2" s="1"/>
  <c r="E86" i="2" l="1"/>
  <c r="F86" i="2" s="1"/>
  <c r="D87" i="2"/>
  <c r="D88" i="2" l="1"/>
  <c r="E87" i="2"/>
  <c r="F87" i="2" s="1"/>
  <c r="D89" i="2" l="1"/>
  <c r="E88" i="2"/>
  <c r="F88" i="2" s="1"/>
  <c r="E89" i="2" l="1"/>
  <c r="F89" i="2" s="1"/>
  <c r="D90" i="2"/>
  <c r="E90" i="2" l="1"/>
  <c r="F90" i="2" s="1"/>
  <c r="D91" i="2"/>
  <c r="D92" i="2" l="1"/>
  <c r="E91" i="2"/>
  <c r="F91" i="2" s="1"/>
  <c r="E92" i="2" l="1"/>
  <c r="F92" i="2" s="1"/>
  <c r="D93" i="2"/>
  <c r="D94" i="2" l="1"/>
  <c r="E93" i="2"/>
  <c r="F93" i="2" s="1"/>
  <c r="E94" i="2" l="1"/>
  <c r="F94" i="2" s="1"/>
  <c r="D95" i="2"/>
  <c r="E95" i="2" l="1"/>
  <c r="F95" i="2" s="1"/>
  <c r="D96" i="2"/>
  <c r="D97" i="2" l="1"/>
  <c r="E96" i="2"/>
  <c r="F96" i="2" s="1"/>
  <c r="D98" i="2" l="1"/>
  <c r="E97" i="2"/>
  <c r="F97" i="2" s="1"/>
  <c r="E98" i="2" l="1"/>
  <c r="F98" i="2" s="1"/>
  <c r="D99" i="2"/>
  <c r="D100" i="2" l="1"/>
  <c r="E99" i="2"/>
  <c r="F99" i="2" s="1"/>
  <c r="D101" i="2" l="1"/>
  <c r="E100" i="2"/>
  <c r="F100" i="2" s="1"/>
  <c r="E101" i="2" l="1"/>
  <c r="F101" i="2" s="1"/>
  <c r="D102" i="2"/>
  <c r="E102" i="2" l="1"/>
  <c r="F102" i="2" s="1"/>
  <c r="D103" i="2"/>
  <c r="D104" i="2" l="1"/>
  <c r="E103" i="2"/>
  <c r="F103" i="2" s="1"/>
  <c r="E104" i="2" l="1"/>
  <c r="F104" i="2" s="1"/>
  <c r="D105" i="2"/>
  <c r="D106" i="2" l="1"/>
  <c r="E105" i="2"/>
  <c r="F105" i="2" s="1"/>
  <c r="E106" i="2" l="1"/>
  <c r="F106" i="2" s="1"/>
  <c r="D107" i="2"/>
  <c r="E107" i="2" l="1"/>
  <c r="F107" i="2" s="1"/>
  <c r="D108" i="2"/>
  <c r="F108" i="2" l="1"/>
  <c r="D109" i="2"/>
  <c r="E108" i="2"/>
  <c r="D110" i="2" l="1"/>
  <c r="E109" i="2"/>
  <c r="F109" i="2" s="1"/>
  <c r="E110" i="2" l="1"/>
  <c r="F110" i="2" s="1"/>
  <c r="D111" i="2"/>
  <c r="F111" i="2" l="1"/>
  <c r="D112" i="2"/>
  <c r="E111" i="2"/>
  <c r="D113" i="2" l="1"/>
  <c r="E112" i="2"/>
  <c r="F112" i="2" s="1"/>
  <c r="E113" i="2" l="1"/>
  <c r="F113" i="2" s="1"/>
  <c r="D114" i="2"/>
  <c r="E114" i="2" l="1"/>
  <c r="F114" i="2" s="1"/>
  <c r="D115" i="2"/>
  <c r="D116" i="2" l="1"/>
  <c r="E115" i="2"/>
  <c r="F115" i="2" s="1"/>
  <c r="E116" i="2" l="1"/>
  <c r="F116" i="2" s="1"/>
  <c r="D117" i="2"/>
  <c r="D118" i="2" l="1"/>
  <c r="E117" i="2"/>
  <c r="F117" i="2" s="1"/>
  <c r="E118" i="2" l="1"/>
  <c r="F118" i="2" s="1"/>
  <c r="D119" i="2"/>
  <c r="E119" i="2" l="1"/>
  <c r="F119" i="2" s="1"/>
  <c r="D120" i="2"/>
  <c r="D121" i="2" l="1"/>
  <c r="E120" i="2"/>
  <c r="F120" i="2" s="1"/>
  <c r="F121" i="2" l="1"/>
  <c r="D122" i="2"/>
  <c r="E121" i="2"/>
  <c r="E122" i="2" l="1"/>
  <c r="F122" i="2" s="1"/>
  <c r="D123" i="2"/>
  <c r="F123" i="2" l="1"/>
  <c r="D124" i="2"/>
  <c r="E123" i="2"/>
  <c r="D125" i="2" l="1"/>
  <c r="E124" i="2"/>
  <c r="F124" i="2" s="1"/>
  <c r="E125" i="2" l="1"/>
  <c r="F125" i="2" s="1"/>
  <c r="D126" i="2"/>
  <c r="E126" i="2" l="1"/>
  <c r="F126" i="2" s="1"/>
  <c r="D127" i="2"/>
  <c r="F127" i="2" l="1"/>
  <c r="D128" i="2"/>
  <c r="E127" i="2"/>
  <c r="E128" i="2" l="1"/>
  <c r="F128" i="2" s="1"/>
  <c r="D129" i="2"/>
  <c r="F129" i="2" l="1"/>
  <c r="D130" i="2"/>
  <c r="E129" i="2"/>
  <c r="E130" i="2" l="1"/>
  <c r="F130" i="2" s="1"/>
  <c r="D131" i="2"/>
  <c r="E131" i="2" l="1"/>
  <c r="F131" i="2" s="1"/>
  <c r="D132" i="2"/>
  <c r="D133" i="2" l="1"/>
  <c r="E132" i="2"/>
  <c r="F132" i="2" s="1"/>
  <c r="D134" i="2" l="1"/>
  <c r="E133" i="2"/>
  <c r="F133" i="2" s="1"/>
  <c r="E134" i="2" l="1"/>
  <c r="F134" i="2" s="1"/>
  <c r="D135" i="2"/>
  <c r="D136" i="2" l="1"/>
  <c r="E135" i="2"/>
  <c r="F135" i="2" s="1"/>
  <c r="D137" i="2" l="1"/>
  <c r="E136" i="2"/>
  <c r="F136" i="2" s="1"/>
  <c r="E137" i="2" l="1"/>
  <c r="F137" i="2" s="1"/>
  <c r="D138" i="2"/>
  <c r="E138" i="2" l="1"/>
  <c r="F138" i="2" s="1"/>
  <c r="D139" i="2"/>
  <c r="D140" i="2" l="1"/>
  <c r="E139" i="2"/>
  <c r="F139" i="2" s="1"/>
  <c r="E140" i="2" l="1"/>
  <c r="F140" i="2" s="1"/>
  <c r="D141" i="2"/>
  <c r="D142" i="2" l="1"/>
  <c r="E141" i="2"/>
  <c r="F141" i="2" s="1"/>
  <c r="E142" i="2" l="1"/>
  <c r="F142" i="2" s="1"/>
  <c r="D143" i="2"/>
  <c r="E143" i="2" l="1"/>
  <c r="F143" i="2" s="1"/>
  <c r="D144" i="2"/>
  <c r="D145" i="2" l="1"/>
  <c r="E144" i="2"/>
  <c r="F144" i="2" s="1"/>
  <c r="D146" i="2" l="1"/>
  <c r="E145" i="2"/>
  <c r="F145" i="2" s="1"/>
  <c r="E146" i="2" l="1"/>
  <c r="F146" i="2" s="1"/>
  <c r="D147" i="2"/>
  <c r="D148" i="2" l="1"/>
  <c r="E147" i="2"/>
  <c r="F147" i="2" s="1"/>
  <c r="D149" i="2" l="1"/>
  <c r="E148" i="2"/>
  <c r="F148" i="2" s="1"/>
  <c r="E149" i="2" l="1"/>
  <c r="F149" i="2" s="1"/>
  <c r="D150" i="2"/>
  <c r="E150" i="2" l="1"/>
  <c r="F150" i="2" s="1"/>
  <c r="D151" i="2"/>
  <c r="D152" i="2" l="1"/>
  <c r="E151" i="2"/>
  <c r="F151" i="2" s="1"/>
  <c r="E152" i="2" l="1"/>
  <c r="F152" i="2" s="1"/>
  <c r="D153" i="2"/>
  <c r="D154" i="2" l="1"/>
  <c r="E153" i="2"/>
  <c r="F153" i="2" s="1"/>
  <c r="E154" i="2" l="1"/>
  <c r="F154" i="2" s="1"/>
  <c r="D155" i="2"/>
  <c r="E155" i="2" l="1"/>
  <c r="F155" i="2" s="1"/>
  <c r="D156" i="2"/>
  <c r="D157" i="2" l="1"/>
  <c r="E156" i="2"/>
  <c r="F156" i="2" s="1"/>
  <c r="D158" i="2" l="1"/>
  <c r="E157" i="2"/>
  <c r="F157" i="2" s="1"/>
  <c r="E158" i="2" l="1"/>
  <c r="F158" i="2" s="1"/>
  <c r="D159" i="2"/>
  <c r="D160" i="2" l="1"/>
  <c r="E159" i="2"/>
  <c r="F159" i="2" s="1"/>
  <c r="D161" i="2" l="1"/>
  <c r="E160" i="2"/>
  <c r="F160" i="2" s="1"/>
  <c r="E161" i="2" l="1"/>
  <c r="F161" i="2" s="1"/>
  <c r="D162" i="2"/>
  <c r="E162" i="2" l="1"/>
  <c r="F162" i="2" s="1"/>
  <c r="D163" i="2"/>
  <c r="D164" i="2" l="1"/>
  <c r="E163" i="2"/>
  <c r="F163" i="2" s="1"/>
  <c r="E164" i="2" l="1"/>
  <c r="F164" i="2" s="1"/>
  <c r="D165" i="2"/>
  <c r="D166" i="2" l="1"/>
  <c r="E165" i="2"/>
  <c r="F165" i="2" s="1"/>
  <c r="E166" i="2" l="1"/>
  <c r="F166" i="2" s="1"/>
  <c r="D167" i="2"/>
  <c r="E167" i="2" l="1"/>
  <c r="F167" i="2" s="1"/>
  <c r="D168" i="2"/>
  <c r="D169" i="2" l="1"/>
  <c r="E168" i="2"/>
  <c r="F168" i="2" s="1"/>
  <c r="D170" i="2" l="1"/>
  <c r="E169" i="2"/>
  <c r="F169" i="2" s="1"/>
  <c r="E170" i="2" l="1"/>
  <c r="F170" i="2" s="1"/>
  <c r="D171" i="2"/>
  <c r="D172" i="2" l="1"/>
  <c r="E171" i="2"/>
  <c r="F171" i="2" s="1"/>
  <c r="D173" i="2" l="1"/>
  <c r="E172" i="2"/>
  <c r="F172" i="2" s="1"/>
  <c r="E173" i="2" l="1"/>
  <c r="F173" i="2" s="1"/>
  <c r="D174" i="2"/>
  <c r="E174" i="2" l="1"/>
  <c r="F174" i="2" s="1"/>
  <c r="D175" i="2"/>
  <c r="D176" i="2" l="1"/>
  <c r="E175" i="2"/>
  <c r="F175" i="2" s="1"/>
  <c r="E176" i="2" l="1"/>
  <c r="F176" i="2" s="1"/>
  <c r="D177" i="2"/>
  <c r="D178" i="2" l="1"/>
  <c r="E177" i="2"/>
  <c r="F177" i="2" s="1"/>
  <c r="E178" i="2" l="1"/>
  <c r="F178" i="2" s="1"/>
  <c r="D179" i="2"/>
  <c r="E179" i="2" l="1"/>
  <c r="F179" i="2" s="1"/>
  <c r="D180" i="2"/>
  <c r="D181" i="2" l="1"/>
  <c r="E180" i="2"/>
  <c r="F180" i="2" s="1"/>
  <c r="D182" i="2" l="1"/>
  <c r="E181" i="2"/>
  <c r="F181" i="2" s="1"/>
  <c r="E182" i="2" l="1"/>
  <c r="F182" i="2" s="1"/>
  <c r="D183" i="2"/>
  <c r="D184" i="2" l="1"/>
  <c r="E183" i="2"/>
  <c r="F183" i="2" s="1"/>
  <c r="D185" i="2" l="1"/>
  <c r="E184" i="2"/>
  <c r="F184" i="2" s="1"/>
  <c r="E185" i="2" l="1"/>
  <c r="F185" i="2" s="1"/>
  <c r="D186" i="2"/>
  <c r="E186" i="2" l="1"/>
  <c r="F186" i="2" s="1"/>
  <c r="D187" i="2"/>
  <c r="E187" i="2" l="1"/>
  <c r="F187" i="2" s="1"/>
  <c r="D188" i="2"/>
  <c r="E188" i="2" l="1"/>
  <c r="F188" i="2" s="1"/>
  <c r="D189" i="2"/>
  <c r="D190" i="2" l="1"/>
  <c r="E189" i="2"/>
  <c r="F189" i="2" s="1"/>
  <c r="E190" i="2" l="1"/>
  <c r="F190" i="2" s="1"/>
  <c r="D191" i="2"/>
  <c r="E191" i="2" l="1"/>
  <c r="F191" i="2" s="1"/>
  <c r="D192" i="2"/>
  <c r="D193" i="2" l="1"/>
  <c r="E192" i="2"/>
  <c r="F192" i="2" s="1"/>
  <c r="D194" i="2" l="1"/>
  <c r="E193" i="2"/>
  <c r="F193" i="2" s="1"/>
  <c r="E194" i="2" l="1"/>
  <c r="F194" i="2" s="1"/>
  <c r="D195" i="2"/>
  <c r="E195" i="2" l="1"/>
  <c r="F195" i="2" s="1"/>
  <c r="D196" i="2"/>
  <c r="D197" i="2" l="1"/>
  <c r="E196" i="2"/>
  <c r="F196" i="2" s="1"/>
  <c r="E197" i="2" l="1"/>
  <c r="F197" i="2" s="1"/>
  <c r="D198" i="2"/>
  <c r="E198" i="2" l="1"/>
  <c r="F198" i="2" s="1"/>
  <c r="D199" i="2"/>
  <c r="E199" i="2" l="1"/>
  <c r="F199" i="2" s="1"/>
  <c r="D200" i="2"/>
  <c r="E200" i="2" l="1"/>
  <c r="F200" i="2" s="1"/>
  <c r="D201" i="2"/>
  <c r="D202" i="2" l="1"/>
  <c r="E201" i="2"/>
  <c r="F201" i="2" s="1"/>
  <c r="E202" i="2" l="1"/>
  <c r="F202" i="2" s="1"/>
  <c r="D203" i="2"/>
  <c r="E203" i="2" l="1"/>
  <c r="F203" i="2" s="1"/>
  <c r="D204" i="2"/>
  <c r="D205" i="2" l="1"/>
  <c r="E204" i="2"/>
  <c r="F204" i="2" s="1"/>
  <c r="D206" i="2" l="1"/>
  <c r="E205" i="2"/>
  <c r="F205" i="2" s="1"/>
  <c r="E206" i="2" l="1"/>
  <c r="F206" i="2" s="1"/>
  <c r="D207" i="2"/>
  <c r="E207" i="2" l="1"/>
  <c r="F207" i="2" s="1"/>
  <c r="D208" i="2"/>
  <c r="D209" i="2" l="1"/>
  <c r="E208" i="2"/>
  <c r="F208" i="2" s="1"/>
  <c r="E209" i="2" l="1"/>
  <c r="F209" i="2" s="1"/>
  <c r="D210" i="2"/>
  <c r="E210" i="2" l="1"/>
  <c r="F210" i="2" s="1"/>
  <c r="D211" i="2"/>
  <c r="E211" i="2" l="1"/>
  <c r="F211" i="2" s="1"/>
  <c r="D212" i="2"/>
  <c r="E212" i="2" l="1"/>
  <c r="F212" i="2" s="1"/>
  <c r="D213" i="2"/>
  <c r="D214" i="2" l="1"/>
  <c r="E213" i="2"/>
  <c r="F213" i="2" s="1"/>
  <c r="E214" i="2" l="1"/>
  <c r="F214" i="2" s="1"/>
  <c r="D215" i="2"/>
  <c r="E215" i="2" l="1"/>
  <c r="F215" i="2" s="1"/>
  <c r="D216" i="2"/>
  <c r="D217" i="2" l="1"/>
  <c r="E216" i="2"/>
  <c r="F216" i="2" s="1"/>
  <c r="D218" i="2" l="1"/>
  <c r="E217" i="2"/>
  <c r="F217" i="2" s="1"/>
  <c r="E218" i="2" l="1"/>
  <c r="F218" i="2" s="1"/>
  <c r="D219" i="2"/>
  <c r="D220" i="2" l="1"/>
  <c r="E219" i="2"/>
  <c r="F219" i="2" s="1"/>
  <c r="D221" i="2" l="1"/>
  <c r="E220" i="2"/>
  <c r="F220" i="2" s="1"/>
  <c r="E221" i="2" l="1"/>
  <c r="F221" i="2" s="1"/>
  <c r="D222" i="2"/>
  <c r="E222" i="2" l="1"/>
  <c r="F222" i="2" s="1"/>
  <c r="D223" i="2"/>
  <c r="D224" i="2" l="1"/>
  <c r="E223" i="2"/>
  <c r="F223" i="2" s="1"/>
  <c r="E224" i="2" l="1"/>
  <c r="F224" i="2" s="1"/>
  <c r="D225" i="2"/>
  <c r="D226" i="2" l="1"/>
  <c r="E225" i="2"/>
  <c r="F225" i="2" s="1"/>
  <c r="E226" i="2" l="1"/>
  <c r="F226" i="2" s="1"/>
  <c r="D227" i="2"/>
  <c r="E227" i="2" l="1"/>
  <c r="F227" i="2" s="1"/>
  <c r="D228" i="2"/>
  <c r="D229" i="2" l="1"/>
  <c r="E228" i="2"/>
  <c r="F228" i="2" s="1"/>
  <c r="D230" i="2" l="1"/>
  <c r="E229" i="2"/>
  <c r="F229" i="2" s="1"/>
  <c r="E230" i="2" l="1"/>
  <c r="F230" i="2" s="1"/>
  <c r="D231" i="2"/>
  <c r="E231" i="2" l="1"/>
  <c r="F231" i="2" s="1"/>
  <c r="D232" i="2"/>
  <c r="D233" i="2" l="1"/>
  <c r="E232" i="2"/>
  <c r="F232" i="2" s="1"/>
  <c r="E233" i="2" l="1"/>
  <c r="F233" i="2" s="1"/>
  <c r="D234" i="2"/>
  <c r="E234" i="2" l="1"/>
  <c r="F234" i="2" s="1"/>
  <c r="D235" i="2"/>
  <c r="E235" i="2" l="1"/>
  <c r="F235" i="2" s="1"/>
  <c r="D236" i="2"/>
  <c r="E236" i="2" l="1"/>
  <c r="F236" i="2" s="1"/>
  <c r="D237" i="2"/>
  <c r="D238" i="2" l="1"/>
  <c r="E237" i="2"/>
  <c r="F237" i="2" s="1"/>
  <c r="E238" i="2" l="1"/>
  <c r="F238" i="2" s="1"/>
  <c r="D239" i="2"/>
  <c r="E239" i="2" l="1"/>
  <c r="F239" i="2" s="1"/>
  <c r="D240" i="2"/>
  <c r="D241" i="2" l="1"/>
  <c r="E240" i="2"/>
  <c r="F240" i="2" s="1"/>
  <c r="D242" i="2" l="1"/>
  <c r="E241" i="2"/>
  <c r="F241" i="2" s="1"/>
  <c r="D243" i="2" l="1"/>
  <c r="E242" i="2"/>
  <c r="F242" i="2" s="1"/>
  <c r="D244" i="2" l="1"/>
  <c r="E244" i="2" s="1"/>
  <c r="E243" i="2"/>
  <c r="F243" i="2" s="1"/>
  <c r="F244" i="2" s="1"/>
</calcChain>
</file>

<file path=xl/sharedStrings.xml><?xml version="1.0" encoding="utf-8"?>
<sst xmlns="http://schemas.openxmlformats.org/spreadsheetml/2006/main" count="37" uniqueCount="37">
  <si>
    <t>SIMULADOR DE FUNDOS IMOBILIÁRIOS</t>
  </si>
  <si>
    <t>Parâmetros de entrada</t>
  </si>
  <si>
    <t>Indicadores</t>
  </si>
  <si>
    <t>Aporte mensal (R$)</t>
  </si>
  <si>
    <t>Multiplicador do Capital</t>
  </si>
  <si>
    <t>Período (meses)</t>
  </si>
  <si>
    <t>Rend. Anualizado (%)</t>
  </si>
  <si>
    <t>Rendimento mensal (%)</t>
  </si>
  <si>
    <t>Renda Passiva/Dia (R$)</t>
  </si>
  <si>
    <t>Patrimônio inicial (R$)</t>
  </si>
  <si>
    <t>Meta R$1k/mês — meses</t>
  </si>
  <si>
    <t>Reinvestir dividendos?</t>
  </si>
  <si>
    <t>SIM</t>
  </si>
  <si>
    <t>Aporte p/ R$5k/mês (R$)</t>
  </si>
  <si>
    <t>Resultados</t>
  </si>
  <si>
    <t>Observações</t>
  </si>
  <si>
    <t>Total investido (R$)</t>
  </si>
  <si>
    <t>Fundos imobiliários podem pagar dividendos mensais.</t>
  </si>
  <si>
    <t>Os valores são apenas uma simulação.</t>
  </si>
  <si>
    <t>O rendimento pode variar ao longo do tempo.</t>
  </si>
  <si>
    <t>Diversifique entre FIIs de papel, tijolo e híbridos.</t>
  </si>
  <si>
    <t>Analise o P/VP e o DY antes de escolher o fundo.</t>
  </si>
  <si>
    <t>Consulte sempre um assessor antes de investir.</t>
  </si>
  <si>
    <t>EVOLUÇÃO MENSAL</t>
  </si>
  <si>
    <t>Mês</t>
  </si>
  <si>
    <t>Total Investido (R$)</t>
  </si>
  <si>
    <t>Patrimônio (R$)</t>
  </si>
  <si>
    <t>Rendimento Mês (R$)</t>
  </si>
  <si>
    <t>Dividendos Acum. (R$)</t>
  </si>
  <si>
    <t>Painel</t>
  </si>
  <si>
    <t>Sem gráficos neste arquivo.</t>
  </si>
  <si>
    <t>Patrimônio Acumulado (R$)</t>
  </si>
  <si>
    <t>Rendimento Total (R$)</t>
  </si>
  <si>
    <t>Rentabilidade Total (%)</t>
  </si>
  <si>
    <t>Dividendos Mensais (R$)</t>
  </si>
  <si>
    <t>Dividendos Anuais (R$)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</si>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</sst>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0\x"/>
  </numFmts>
  <fonts count="7" x14ac:knownFonts="1">
    <font>
      <sz val="11"/>
      <color theme="1"/>
      <name val="Calibri"/>
      <family val="2"/>
      <charset val="1"/>
    </font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C8E6C9"/>
        <bgColor rgb="FFD9D9D9"/>
      </patternFill>
    </fill>
    <fill>
      <patternFill patternType="solid">
        <fgColor rgb="FFD9D9D9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left" vertical="center"/>
    </xf>
    <xf numFmtId="165" fontId="1" fillId="5" borderId="2" xfId="0" applyNumberFormat="1" applyFont="1" applyFill="1" applyBorder="1" applyAlignment="1">
      <alignment horizontal="left" vertical="center"/>
    </xf>
    <xf numFmtId="3" fontId="1" fillId="5" borderId="2" xfId="0" applyNumberFormat="1" applyFont="1" applyFill="1" applyBorder="1" applyAlignment="1">
      <alignment horizontal="left" vertical="center"/>
    </xf>
    <xf numFmtId="10" fontId="1" fillId="5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164" fontId="1" fillId="7" borderId="2" xfId="0" applyNumberFormat="1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vertical="center"/>
    </xf>
    <xf numFmtId="0" fontId="1" fillId="9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78787"/>
      <rgbColor rgb="FF9999FF"/>
      <rgbColor rgb="FF993366"/>
      <rgbColor rgb="FFF5F5F5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Patrimônio vs Total Investido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Mensal'!$C$4</c:f>
              <c:strCache>
                <c:ptCount val="1"/>
                <c:pt idx="0">
                  <c:v>Total Investido (R$)</c:v>
                </c:pt>
              </c:strCache>
            </c:strRef>
          </c:tx>
          <c:spPr>
            <a:ln w="47520">
              <a:solidFill>
                <a:srgbClr val="F9A82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'Evolução Mensal'!$B$5:$B$244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'Evolução Mensal'!$C$5:$C$244</c:f>
              <c:numCache>
                <c:formatCode>"R$ "#,##0.00</c:formatCode>
                <c:ptCount val="24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71-A82B-2FAD1254C347}"/>
            </c:ext>
          </c:extLst>
        </c:ser>
        <c:ser>
          <c:idx val="1"/>
          <c:order val="1"/>
          <c:tx>
            <c:strRef>
              <c:f>'Evolução Mensal'!$D$4</c:f>
              <c:strCache>
                <c:ptCount val="1"/>
                <c:pt idx="0">
                  <c:v>Patrimônio (R$)</c:v>
                </c:pt>
              </c:strCache>
            </c:strRef>
          </c:tx>
          <c:spPr>
            <a:ln w="47520">
              <a:solidFill>
                <a:srgbClr val="4CAF5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'Evolução Mensal'!$B$5:$B$244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'Evolução Mensal'!$D$5:$D$244</c:f>
              <c:numCache>
                <c:formatCode>"R$ "#,##0.00</c:formatCode>
                <c:ptCount val="240"/>
                <c:pt idx="0">
                  <c:v>504</c:v>
                </c:pt>
                <c:pt idx="1">
                  <c:v>1012.032</c:v>
                </c:pt>
                <c:pt idx="2">
                  <c:v>1524.1282560000002</c:v>
                </c:pt>
                <c:pt idx="3">
                  <c:v>2040.3212820480003</c:v>
                </c:pt>
                <c:pt idx="4">
                  <c:v>2560.6438523043844</c:v>
                </c:pt>
                <c:pt idx="5">
                  <c:v>3085.1290031228195</c:v>
                </c:pt>
                <c:pt idx="6">
                  <c:v>3613.810035147802</c:v>
                </c:pt>
                <c:pt idx="7">
                  <c:v>4146.720515428985</c:v>
                </c:pt>
                <c:pt idx="8">
                  <c:v>4683.8942795524172</c:v>
                </c:pt>
                <c:pt idx="9">
                  <c:v>5225.3654337888365</c:v>
                </c:pt>
                <c:pt idx="10">
                  <c:v>5771.1683572591473</c:v>
                </c:pt>
                <c:pt idx="11">
                  <c:v>6321.3377041172207</c:v>
                </c:pt>
                <c:pt idx="12">
                  <c:v>6875.9084057501586</c:v>
                </c:pt>
                <c:pt idx="13">
                  <c:v>7434.9156729961596</c:v>
                </c:pt>
                <c:pt idx="14">
                  <c:v>7998.3949983801285</c:v>
                </c:pt>
                <c:pt idx="15">
                  <c:v>8566.3821583671688</c:v>
                </c:pt>
                <c:pt idx="16">
                  <c:v>9138.9132156341057</c:v>
                </c:pt>
                <c:pt idx="17">
                  <c:v>9716.0245213591788</c:v>
                </c:pt>
                <c:pt idx="18">
                  <c:v>10297.752717530053</c:v>
                </c:pt>
                <c:pt idx="19">
                  <c:v>10884.134739270294</c:v>
                </c:pt>
                <c:pt idx="20">
                  <c:v>11475.207817184457</c:v>
                </c:pt>
                <c:pt idx="21">
                  <c:v>12071.009479721932</c:v>
                </c:pt>
                <c:pt idx="22">
                  <c:v>12671.577555559707</c:v>
                </c:pt>
                <c:pt idx="23">
                  <c:v>13276.950176004184</c:v>
                </c:pt>
                <c:pt idx="24">
                  <c:v>13887.165777412218</c:v>
                </c:pt>
                <c:pt idx="25">
                  <c:v>14502.263103631516</c:v>
                </c:pt>
                <c:pt idx="26">
                  <c:v>15122.281208460568</c:v>
                </c:pt>
                <c:pt idx="27">
                  <c:v>15747.259458128254</c:v>
                </c:pt>
                <c:pt idx="28">
                  <c:v>16377.237533793279</c:v>
                </c:pt>
                <c:pt idx="29">
                  <c:v>17012.255434063627</c:v>
                </c:pt>
                <c:pt idx="30">
                  <c:v>17652.353477536137</c:v>
                </c:pt>
                <c:pt idx="31">
                  <c:v>18297.572305356425</c:v>
                </c:pt>
                <c:pt idx="32">
                  <c:v>18947.952883799277</c:v>
                </c:pt>
                <c:pt idx="33">
                  <c:v>19603.53650686967</c:v>
                </c:pt>
                <c:pt idx="34">
                  <c:v>20264.364798924627</c:v>
                </c:pt>
                <c:pt idx="35">
                  <c:v>20930.479717316026</c:v>
                </c:pt>
                <c:pt idx="36">
                  <c:v>21601.923555054553</c:v>
                </c:pt>
                <c:pt idx="37">
                  <c:v>22278.738943494991</c:v>
                </c:pt>
                <c:pt idx="38">
                  <c:v>22960.968855042953</c:v>
                </c:pt>
                <c:pt idx="39">
                  <c:v>23648.656605883298</c:v>
                </c:pt>
                <c:pt idx="40">
                  <c:v>24341.845858730365</c:v>
                </c:pt>
                <c:pt idx="41">
                  <c:v>25040.580625600207</c:v>
                </c:pt>
                <c:pt idx="42">
                  <c:v>25744.90527060501</c:v>
                </c:pt>
                <c:pt idx="43">
                  <c:v>26454.864512769851</c:v>
                </c:pt>
                <c:pt idx="44">
                  <c:v>27170.503428872009</c:v>
                </c:pt>
                <c:pt idx="45">
                  <c:v>27891.867456302985</c:v>
                </c:pt>
                <c:pt idx="46">
                  <c:v>28619.002395953408</c:v>
                </c:pt>
                <c:pt idx="47">
                  <c:v>29351.954415121036</c:v>
                </c:pt>
                <c:pt idx="48">
                  <c:v>30090.770050442003</c:v>
                </c:pt>
                <c:pt idx="49">
                  <c:v>30835.49621084554</c:v>
                </c:pt>
                <c:pt idx="50">
                  <c:v>31586.180180532305</c:v>
                </c:pt>
                <c:pt idx="51">
                  <c:v>32342.869621976562</c:v>
                </c:pt>
                <c:pt idx="52">
                  <c:v>33105.612578952372</c:v>
                </c:pt>
                <c:pt idx="53">
                  <c:v>33874.457479583994</c:v>
                </c:pt>
                <c:pt idx="54">
                  <c:v>34649.453139420664</c:v>
                </c:pt>
                <c:pt idx="55">
                  <c:v>35430.648764536032</c:v>
                </c:pt>
                <c:pt idx="56">
                  <c:v>36218.093954652322</c:v>
                </c:pt>
                <c:pt idx="57">
                  <c:v>37011.838706289542</c:v>
                </c:pt>
                <c:pt idx="58">
                  <c:v>37811.933415939857</c:v>
                </c:pt>
                <c:pt idx="59">
                  <c:v>38618.428883267377</c:v>
                </c:pt>
                <c:pt idx="60">
                  <c:v>39431.376314333516</c:v>
                </c:pt>
                <c:pt idx="61">
                  <c:v>40250.827324848186</c:v>
                </c:pt>
                <c:pt idx="62">
                  <c:v>41076.833943446974</c:v>
                </c:pt>
                <c:pt idx="63">
                  <c:v>41909.448614994551</c:v>
                </c:pt>
                <c:pt idx="64">
                  <c:v>42748.724203914506</c:v>
                </c:pt>
                <c:pt idx="65">
                  <c:v>43594.713997545819</c:v>
                </c:pt>
                <c:pt idx="66">
                  <c:v>44447.471709526188</c:v>
                </c:pt>
                <c:pt idx="67">
                  <c:v>45307.051483202398</c:v>
                </c:pt>
                <c:pt idx="68">
                  <c:v>46173.507895068018</c:v>
                </c:pt>
                <c:pt idx="69">
                  <c:v>47046.895958228561</c:v>
                </c:pt>
                <c:pt idx="70">
                  <c:v>47927.271125894389</c:v>
                </c:pt>
                <c:pt idx="71">
                  <c:v>48814.689294901546</c:v>
                </c:pt>
                <c:pt idx="72">
                  <c:v>49709.206809260759</c:v>
                </c:pt>
                <c:pt idx="73">
                  <c:v>50610.880463734844</c:v>
                </c:pt>
                <c:pt idx="74">
                  <c:v>51519.767507444725</c:v>
                </c:pt>
                <c:pt idx="75">
                  <c:v>52435.925647504286</c:v>
                </c:pt>
                <c:pt idx="76">
                  <c:v>53359.413052684322</c:v>
                </c:pt>
                <c:pt idx="77">
                  <c:v>54290.288357105797</c:v>
                </c:pt>
                <c:pt idx="78">
                  <c:v>55228.610663962645</c:v>
                </c:pt>
                <c:pt idx="79">
                  <c:v>56174.43954927435</c:v>
                </c:pt>
                <c:pt idx="80">
                  <c:v>57127.835065668543</c:v>
                </c:pt>
                <c:pt idx="81">
                  <c:v>58088.857746193891</c:v>
                </c:pt>
                <c:pt idx="82">
                  <c:v>59057.568608163441</c:v>
                </c:pt>
                <c:pt idx="83">
                  <c:v>60034.029157028752</c:v>
                </c:pt>
                <c:pt idx="84">
                  <c:v>61018.301390284985</c:v>
                </c:pt>
                <c:pt idx="85">
                  <c:v>62010.447801407267</c:v>
                </c:pt>
                <c:pt idx="86">
                  <c:v>63010.531383818525</c:v>
                </c:pt>
                <c:pt idx="87">
                  <c:v>64018.615634889073</c:v>
                </c:pt>
                <c:pt idx="88">
                  <c:v>65034.764559968185</c:v>
                </c:pt>
                <c:pt idx="89">
                  <c:v>66059.042676447934</c:v>
                </c:pt>
                <c:pt idx="90">
                  <c:v>67091.515017859521</c:v>
                </c:pt>
                <c:pt idx="91">
                  <c:v>68132.247138002393</c:v>
                </c:pt>
                <c:pt idx="92">
                  <c:v>69181.305115106414</c:v>
                </c:pt>
                <c:pt idx="93">
                  <c:v>70238.755556027259</c:v>
                </c:pt>
                <c:pt idx="94">
                  <c:v>71304.665600475477</c:v>
                </c:pt>
                <c:pt idx="95">
                  <c:v>72379.10292527928</c:v>
                </c:pt>
                <c:pt idx="96">
                  <c:v>73462.13574868151</c:v>
                </c:pt>
                <c:pt idx="97">
                  <c:v>74553.83283467096</c:v>
                </c:pt>
                <c:pt idx="98">
                  <c:v>75654.263497348322</c:v>
                </c:pt>
                <c:pt idx="99">
                  <c:v>76763.497605327109</c:v>
                </c:pt>
                <c:pt idx="100">
                  <c:v>77881.605586169724</c:v>
                </c:pt>
                <c:pt idx="101">
                  <c:v>79008.658430859083</c:v>
                </c:pt>
                <c:pt idx="102">
                  <c:v>80144.727698305956</c:v>
                </c:pt>
                <c:pt idx="103">
                  <c:v>81289.885519892399</c:v>
                </c:pt>
                <c:pt idx="104">
                  <c:v>82444.204604051542</c:v>
                </c:pt>
                <c:pt idx="105">
                  <c:v>83607.758240883952</c:v>
                </c:pt>
                <c:pt idx="106">
                  <c:v>84780.620306811019</c:v>
                </c:pt>
                <c:pt idx="107">
                  <c:v>85962.865269265501</c:v>
                </c:pt>
                <c:pt idx="108">
                  <c:v>87154.568191419632</c:v>
                </c:pt>
                <c:pt idx="109">
                  <c:v>88355.804736950988</c:v>
                </c:pt>
                <c:pt idx="110">
                  <c:v>89566.6511748466</c:v>
                </c:pt>
                <c:pt idx="111">
                  <c:v>90787.184384245367</c:v>
                </c:pt>
                <c:pt idx="112">
                  <c:v>92017.481859319334</c:v>
                </c:pt>
                <c:pt idx="113">
                  <c:v>93257.621714193883</c:v>
                </c:pt>
                <c:pt idx="114">
                  <c:v>94507.682687907436</c:v>
                </c:pt>
                <c:pt idx="115">
                  <c:v>95767.74414941069</c:v>
                </c:pt>
                <c:pt idx="116">
                  <c:v>97037.886102605975</c:v>
                </c:pt>
                <c:pt idx="117">
                  <c:v>98318.18919142682</c:v>
                </c:pt>
                <c:pt idx="118">
                  <c:v>99608.734704958231</c:v>
                </c:pt>
                <c:pt idx="119">
                  <c:v>100909.60458259789</c:v>
                </c:pt>
                <c:pt idx="120">
                  <c:v>102220.88141925867</c:v>
                </c:pt>
                <c:pt idx="121">
                  <c:v>103542.64847061274</c:v>
                </c:pt>
                <c:pt idx="122">
                  <c:v>104874.98965837764</c:v>
                </c:pt>
                <c:pt idx="123">
                  <c:v>106217.98957564466</c:v>
                </c:pt>
                <c:pt idx="124">
                  <c:v>107571.73349224983</c:v>
                </c:pt>
                <c:pt idx="125">
                  <c:v>108936.30736018783</c:v>
                </c:pt>
                <c:pt idx="126">
                  <c:v>110311.79781906932</c:v>
                </c:pt>
                <c:pt idx="127">
                  <c:v>111698.29220162188</c:v>
                </c:pt>
                <c:pt idx="128">
                  <c:v>113095.87853923485</c:v>
                </c:pt>
                <c:pt idx="129">
                  <c:v>114504.64556754874</c:v>
                </c:pt>
                <c:pt idx="130">
                  <c:v>115924.68273208913</c:v>
                </c:pt>
                <c:pt idx="131">
                  <c:v>117356.08019394585</c:v>
                </c:pt>
                <c:pt idx="132">
                  <c:v>118798.92883549741</c:v>
                </c:pt>
                <c:pt idx="133">
                  <c:v>120253.3202661814</c:v>
                </c:pt>
                <c:pt idx="134">
                  <c:v>121719.34682831085</c:v>
                </c:pt>
                <c:pt idx="135">
                  <c:v>123197.10160293734</c:v>
                </c:pt>
                <c:pt idx="136">
                  <c:v>124686.67841576085</c:v>
                </c:pt>
                <c:pt idx="137">
                  <c:v>126188.17184308694</c:v>
                </c:pt>
                <c:pt idx="138">
                  <c:v>127701.67721783163</c:v>
                </c:pt>
                <c:pt idx="139">
                  <c:v>129227.29063557429</c:v>
                </c:pt>
                <c:pt idx="140">
                  <c:v>130765.10896065888</c:v>
                </c:pt>
                <c:pt idx="141">
                  <c:v>132315.22983234416</c:v>
                </c:pt>
                <c:pt idx="142">
                  <c:v>133877.75167100292</c:v>
                </c:pt>
                <c:pt idx="143">
                  <c:v>135452.77368437094</c:v>
                </c:pt>
                <c:pt idx="144">
                  <c:v>137040.3958738459</c:v>
                </c:pt>
                <c:pt idx="145">
                  <c:v>138640.71904083667</c:v>
                </c:pt>
                <c:pt idx="146">
                  <c:v>140253.84479316336</c:v>
                </c:pt>
                <c:pt idx="147">
                  <c:v>141879.87555150865</c:v>
                </c:pt>
                <c:pt idx="148">
                  <c:v>143518.91455592072</c:v>
                </c:pt>
                <c:pt idx="149">
                  <c:v>145171.06587236808</c:v>
                </c:pt>
                <c:pt idx="150">
                  <c:v>146836.43439934702</c:v>
                </c:pt>
                <c:pt idx="151">
                  <c:v>148515.12587454182</c:v>
                </c:pt>
                <c:pt idx="152">
                  <c:v>150207.24688153816</c:v>
                </c:pt>
                <c:pt idx="153">
                  <c:v>151912.90485659047</c:v>
                </c:pt>
                <c:pt idx="154">
                  <c:v>153632.2080954432</c:v>
                </c:pt>
                <c:pt idx="155">
                  <c:v>155365.26576020676</c:v>
                </c:pt>
                <c:pt idx="156">
                  <c:v>157112.18788628842</c:v>
                </c:pt>
                <c:pt idx="157">
                  <c:v>158873.08538937871</c:v>
                </c:pt>
                <c:pt idx="158">
                  <c:v>160648.07007249375</c:v>
                </c:pt>
                <c:pt idx="159">
                  <c:v>162437.2546330737</c:v>
                </c:pt>
                <c:pt idx="160">
                  <c:v>164240.75267013829</c:v>
                </c:pt>
                <c:pt idx="161">
                  <c:v>166058.6786914994</c:v>
                </c:pt>
                <c:pt idx="162">
                  <c:v>167891.14812103141</c:v>
                </c:pt>
                <c:pt idx="163">
                  <c:v>169738.27730599965</c:v>
                </c:pt>
                <c:pt idx="164">
                  <c:v>171600.18352444764</c:v>
                </c:pt>
                <c:pt idx="165">
                  <c:v>173476.98499264321</c:v>
                </c:pt>
                <c:pt idx="166">
                  <c:v>175368.80087258437</c:v>
                </c:pt>
                <c:pt idx="167">
                  <c:v>177275.75127956504</c:v>
                </c:pt>
                <c:pt idx="168">
                  <c:v>179197.95728980156</c:v>
                </c:pt>
                <c:pt idx="169">
                  <c:v>181135.54094811997</c:v>
                </c:pt>
                <c:pt idx="170">
                  <c:v>183088.62527570492</c:v>
                </c:pt>
                <c:pt idx="171">
                  <c:v>185057.33427791056</c:v>
                </c:pt>
                <c:pt idx="172">
                  <c:v>187041.79295213384</c:v>
                </c:pt>
                <c:pt idx="173">
                  <c:v>189042.12729575092</c:v>
                </c:pt>
                <c:pt idx="174">
                  <c:v>191058.46431411692</c:v>
                </c:pt>
                <c:pt idx="175">
                  <c:v>193090.93202862985</c:v>
                </c:pt>
                <c:pt idx="176">
                  <c:v>195139.65948485889</c:v>
                </c:pt>
                <c:pt idx="177">
                  <c:v>197204.77676073776</c:v>
                </c:pt>
                <c:pt idx="178">
                  <c:v>199286.41497482365</c:v>
                </c:pt>
                <c:pt idx="179">
                  <c:v>201384.70629462224</c:v>
                </c:pt>
                <c:pt idx="180">
                  <c:v>203499.78394497922</c:v>
                </c:pt>
                <c:pt idx="181">
                  <c:v>205631.78221653905</c:v>
                </c:pt>
                <c:pt idx="182">
                  <c:v>207780.83647427137</c:v>
                </c:pt>
                <c:pt idx="183">
                  <c:v>209947.08316606554</c:v>
                </c:pt>
                <c:pt idx="184">
                  <c:v>212130.65983139406</c:v>
                </c:pt>
                <c:pt idx="185">
                  <c:v>214331.70511004521</c:v>
                </c:pt>
                <c:pt idx="186">
                  <c:v>216550.35875092557</c:v>
                </c:pt>
                <c:pt idx="187">
                  <c:v>218786.76162093299</c:v>
                </c:pt>
                <c:pt idx="188">
                  <c:v>221041.05571390045</c:v>
                </c:pt>
                <c:pt idx="189">
                  <c:v>223313.38415961165</c:v>
                </c:pt>
                <c:pt idx="190">
                  <c:v>225603.89123288856</c:v>
                </c:pt>
                <c:pt idx="191">
                  <c:v>227912.72236275167</c:v>
                </c:pt>
                <c:pt idx="192">
                  <c:v>230240.02414165367</c:v>
                </c:pt>
                <c:pt idx="193">
                  <c:v>232585.94433478691</c:v>
                </c:pt>
                <c:pt idx="194">
                  <c:v>234950.63188946521</c:v>
                </c:pt>
                <c:pt idx="195">
                  <c:v>237334.23694458092</c:v>
                </c:pt>
                <c:pt idx="196">
                  <c:v>239736.91084013757</c:v>
                </c:pt>
                <c:pt idx="197">
                  <c:v>242158.80612685866</c:v>
                </c:pt>
                <c:pt idx="198">
                  <c:v>244600.07657587354</c:v>
                </c:pt>
                <c:pt idx="199">
                  <c:v>247060.87718848052</c:v>
                </c:pt>
                <c:pt idx="200">
                  <c:v>249541.36420598836</c:v>
                </c:pt>
                <c:pt idx="201">
                  <c:v>252041.69511963628</c:v>
                </c:pt>
                <c:pt idx="202">
                  <c:v>254562.02868059336</c:v>
                </c:pt>
                <c:pt idx="203">
                  <c:v>257102.5249100381</c:v>
                </c:pt>
                <c:pt idx="204">
                  <c:v>259663.34510931841</c:v>
                </c:pt>
                <c:pt idx="205">
                  <c:v>262244.65187019296</c:v>
                </c:pt>
                <c:pt idx="206">
                  <c:v>264846.60908515449</c:v>
                </c:pt>
                <c:pt idx="207">
                  <c:v>267469.38195783575</c:v>
                </c:pt>
                <c:pt idx="208">
                  <c:v>270113.13701349846</c:v>
                </c:pt>
                <c:pt idx="209">
                  <c:v>272778.04210960644</c:v>
                </c:pt>
                <c:pt idx="210">
                  <c:v>275464.26644648326</c:v>
                </c:pt>
                <c:pt idx="211">
                  <c:v>278171.98057805514</c:v>
                </c:pt>
                <c:pt idx="212">
                  <c:v>280901.35642267956</c:v>
                </c:pt>
                <c:pt idx="213">
                  <c:v>283652.56727406097</c:v>
                </c:pt>
                <c:pt idx="214">
                  <c:v>286425.78781225346</c:v>
                </c:pt>
                <c:pt idx="215">
                  <c:v>289221.19411475147</c:v>
                </c:pt>
                <c:pt idx="216">
                  <c:v>292038.96366766951</c:v>
                </c:pt>
                <c:pt idx="217">
                  <c:v>294879.27537701087</c:v>
                </c:pt>
                <c:pt idx="218">
                  <c:v>297742.30958002695</c:v>
                </c:pt>
                <c:pt idx="219">
                  <c:v>300628.24805666716</c:v>
                </c:pt>
                <c:pt idx="220">
                  <c:v>303537.27404112049</c:v>
                </c:pt>
                <c:pt idx="221">
                  <c:v>306469.57223344943</c:v>
                </c:pt>
                <c:pt idx="222">
                  <c:v>309425.32881131704</c:v>
                </c:pt>
                <c:pt idx="223">
                  <c:v>312404.73144180758</c:v>
                </c:pt>
                <c:pt idx="224">
                  <c:v>315407.96929334203</c:v>
                </c:pt>
                <c:pt idx="225">
                  <c:v>318435.23304768879</c:v>
                </c:pt>
                <c:pt idx="226">
                  <c:v>321486.71491207031</c:v>
                </c:pt>
                <c:pt idx="227">
                  <c:v>324562.60863136686</c:v>
                </c:pt>
                <c:pt idx="228">
                  <c:v>327663.10950041778</c:v>
                </c:pt>
                <c:pt idx="229">
                  <c:v>330788.41437642113</c:v>
                </c:pt>
                <c:pt idx="230">
                  <c:v>333938.72169143253</c:v>
                </c:pt>
                <c:pt idx="231">
                  <c:v>337114.23146496399</c:v>
                </c:pt>
                <c:pt idx="232">
                  <c:v>340315.14531668369</c:v>
                </c:pt>
                <c:pt idx="233">
                  <c:v>343541.66647921718</c:v>
                </c:pt>
                <c:pt idx="234">
                  <c:v>346793.99981105095</c:v>
                </c:pt>
                <c:pt idx="235">
                  <c:v>350072.35180953937</c:v>
                </c:pt>
                <c:pt idx="236">
                  <c:v>353376.93062401569</c:v>
                </c:pt>
                <c:pt idx="237">
                  <c:v>356707.9460690078</c:v>
                </c:pt>
                <c:pt idx="238">
                  <c:v>360065.60963755986</c:v>
                </c:pt>
                <c:pt idx="239">
                  <c:v>363450.13451466034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03-4F71-A82B-2FAD1254C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8974172"/>
        <c:axId val="6751703"/>
      </c:lineChart>
      <c:catAx>
        <c:axId val="88974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51703"/>
        <c:crosses val="autoZero"/>
        <c:auto val="1"/>
        <c:lblAlgn val="ctr"/>
        <c:lblOffset val="100"/>
        <c:noMultiLvlLbl val="0"/>
      </c:catAx>
      <c:valAx>
        <c:axId val="6751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9741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Dividendos Mensais ao Longo do Tempo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'Evolução Mensal'!$E$4</c:f>
              <c:strCache>
                <c:ptCount val="1"/>
                <c:pt idx="0">
                  <c:v>Rendimento Mês (R$)</c:v>
                </c:pt>
              </c:strCache>
            </c:strRef>
          </c:tx>
          <c:spPr>
            <a:ln w="47520">
              <a:solidFill>
                <a:srgbClr val="2E7D3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'Evolução Mensal'!$B$5:$B$244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'Evolução Mensal'!$E$5:$E$244</c:f>
              <c:numCache>
                <c:formatCode>"R$ "#,##0.00</c:formatCode>
                <c:ptCount val="240"/>
                <c:pt idx="0">
                  <c:v>4.032</c:v>
                </c:pt>
                <c:pt idx="1">
                  <c:v>8.0962560000000003</c:v>
                </c:pt>
                <c:pt idx="2">
                  <c:v>12.193026048000002</c:v>
                </c:pt>
                <c:pt idx="3">
                  <c:v>16.322570256384001</c:v>
                </c:pt>
                <c:pt idx="4">
                  <c:v>20.485150818435077</c:v>
                </c:pt>
                <c:pt idx="5">
                  <c:v>24.681032024982557</c:v>
                </c:pt>
                <c:pt idx="6">
                  <c:v>28.910480281182416</c:v>
                </c:pt>
                <c:pt idx="7">
                  <c:v>33.17376412343188</c:v>
                </c:pt>
                <c:pt idx="8">
                  <c:v>37.471154236419338</c:v>
                </c:pt>
                <c:pt idx="9">
                  <c:v>41.802923470310695</c:v>
                </c:pt>
                <c:pt idx="10">
                  <c:v>46.169346858073183</c:v>
                </c:pt>
                <c:pt idx="11">
                  <c:v>50.570701632937769</c:v>
                </c:pt>
                <c:pt idx="12">
                  <c:v>55.00726724600127</c:v>
                </c:pt>
                <c:pt idx="13">
                  <c:v>59.479325383969275</c:v>
                </c:pt>
                <c:pt idx="14">
                  <c:v>63.987159987041032</c:v>
                </c:pt>
                <c:pt idx="15">
                  <c:v>68.531057266937353</c:v>
                </c:pt>
                <c:pt idx="16">
                  <c:v>73.111305725072853</c:v>
                </c:pt>
                <c:pt idx="17">
                  <c:v>77.728196170873431</c:v>
                </c:pt>
                <c:pt idx="18">
                  <c:v>82.382021740240418</c:v>
                </c:pt>
                <c:pt idx="19">
                  <c:v>87.073077914162354</c:v>
                </c:pt>
                <c:pt idx="20">
                  <c:v>91.80166253747565</c:v>
                </c:pt>
                <c:pt idx="21">
                  <c:v>96.568075837775453</c:v>
                </c:pt>
                <c:pt idx="22">
                  <c:v>101.37262044447766</c:v>
                </c:pt>
                <c:pt idx="23">
                  <c:v>106.21560140803348</c:v>
                </c:pt>
                <c:pt idx="24">
                  <c:v>111.09732621929774</c:v>
                </c:pt>
                <c:pt idx="25">
                  <c:v>116.01810482905213</c:v>
                </c:pt>
                <c:pt idx="26">
                  <c:v>120.97824966768455</c:v>
                </c:pt>
                <c:pt idx="27">
                  <c:v>125.97807566502603</c:v>
                </c:pt>
                <c:pt idx="28">
                  <c:v>131.01790027034625</c:v>
                </c:pt>
                <c:pt idx="29">
                  <c:v>136.098043472509</c:v>
                </c:pt>
                <c:pt idx="30">
                  <c:v>141.21882782028911</c:v>
                </c:pt>
                <c:pt idx="31">
                  <c:v>146.3805784428514</c:v>
                </c:pt>
                <c:pt idx="32">
                  <c:v>151.58362307039422</c:v>
                </c:pt>
                <c:pt idx="33">
                  <c:v>156.82829205495736</c:v>
                </c:pt>
                <c:pt idx="34">
                  <c:v>162.11491839139703</c:v>
                </c:pt>
                <c:pt idx="35">
                  <c:v>167.4438377385282</c:v>
                </c:pt>
                <c:pt idx="36">
                  <c:v>172.81538844043644</c:v>
                </c:pt>
                <c:pt idx="37">
                  <c:v>178.22991154795994</c:v>
                </c:pt>
                <c:pt idx="38">
                  <c:v>183.68775084034363</c:v>
                </c:pt>
                <c:pt idx="39">
                  <c:v>189.1892528470664</c:v>
                </c:pt>
                <c:pt idx="40">
                  <c:v>194.73476686984293</c:v>
                </c:pt>
                <c:pt idx="41">
                  <c:v>200.32464500480165</c:v>
                </c:pt>
                <c:pt idx="42">
                  <c:v>205.95924216484008</c:v>
                </c:pt>
                <c:pt idx="43">
                  <c:v>211.63891610215882</c:v>
                </c:pt>
                <c:pt idx="44">
                  <c:v>217.36402743097608</c:v>
                </c:pt>
                <c:pt idx="45">
                  <c:v>223.13493965042389</c:v>
                </c:pt>
                <c:pt idx="46">
                  <c:v>228.95201916762727</c:v>
                </c:pt>
                <c:pt idx="47">
                  <c:v>234.81563532096828</c:v>
                </c:pt>
                <c:pt idx="48">
                  <c:v>240.72616040353603</c:v>
                </c:pt>
                <c:pt idx="49">
                  <c:v>246.68396968676433</c:v>
                </c:pt>
                <c:pt idx="50">
                  <c:v>252.68944144425845</c:v>
                </c:pt>
                <c:pt idx="51">
                  <c:v>258.74295697581249</c:v>
                </c:pt>
                <c:pt idx="52">
                  <c:v>264.844900631619</c:v>
                </c:pt>
                <c:pt idx="53">
                  <c:v>270.99565983667196</c:v>
                </c:pt>
                <c:pt idx="54">
                  <c:v>277.19562511536532</c:v>
                </c:pt>
                <c:pt idx="55">
                  <c:v>283.44519011628825</c:v>
                </c:pt>
                <c:pt idx="56">
                  <c:v>289.7447516372186</c:v>
                </c:pt>
                <c:pt idx="57">
                  <c:v>296.09470965031636</c:v>
                </c:pt>
                <c:pt idx="58">
                  <c:v>302.49546732751884</c:v>
                </c:pt>
                <c:pt idx="59">
                  <c:v>308.94743106613902</c:v>
                </c:pt>
                <c:pt idx="60">
                  <c:v>315.45101051466816</c:v>
                </c:pt>
                <c:pt idx="61">
                  <c:v>322.00661859878551</c:v>
                </c:pt>
                <c:pt idx="62">
                  <c:v>328.61467154757582</c:v>
                </c:pt>
                <c:pt idx="63">
                  <c:v>335.27558891995642</c:v>
                </c:pt>
                <c:pt idx="64">
                  <c:v>341.98979363131605</c:v>
                </c:pt>
                <c:pt idx="65">
                  <c:v>348.75771198036654</c:v>
                </c:pt>
                <c:pt idx="66">
                  <c:v>355.57977367620953</c:v>
                </c:pt>
                <c:pt idx="67">
                  <c:v>362.4564118656192</c:v>
                </c:pt>
                <c:pt idx="68">
                  <c:v>369.38806316054416</c:v>
                </c:pt>
                <c:pt idx="69">
                  <c:v>376.37516766582849</c:v>
                </c:pt>
                <c:pt idx="70">
                  <c:v>383.41816900715514</c:v>
                </c:pt>
                <c:pt idx="71">
                  <c:v>390.51751435921238</c:v>
                </c:pt>
                <c:pt idx="72">
                  <c:v>397.67365447408611</c:v>
                </c:pt>
                <c:pt idx="73">
                  <c:v>404.88704370987875</c:v>
                </c:pt>
                <c:pt idx="74">
                  <c:v>412.15814005955781</c:v>
                </c:pt>
                <c:pt idx="75">
                  <c:v>419.48740518003427</c:v>
                </c:pt>
                <c:pt idx="76">
                  <c:v>426.8753044214746</c:v>
                </c:pt>
                <c:pt idx="77">
                  <c:v>434.32230685684641</c:v>
                </c:pt>
                <c:pt idx="78">
                  <c:v>441.82888531170119</c:v>
                </c:pt>
                <c:pt idx="79">
                  <c:v>449.39551639419483</c:v>
                </c:pt>
                <c:pt idx="80">
                  <c:v>457.02268052534833</c:v>
                </c:pt>
                <c:pt idx="81">
                  <c:v>464.71086196955116</c:v>
                </c:pt>
                <c:pt idx="82">
                  <c:v>472.46054886530754</c:v>
                </c:pt>
                <c:pt idx="83">
                  <c:v>480.27223325623004</c:v>
                </c:pt>
                <c:pt idx="84">
                  <c:v>488.14641112227991</c:v>
                </c:pt>
                <c:pt idx="85">
                  <c:v>496.08358241125813</c:v>
                </c:pt>
                <c:pt idx="86">
                  <c:v>504.08425107054819</c:v>
                </c:pt>
                <c:pt idx="87">
                  <c:v>512.14892507911259</c:v>
                </c:pt>
                <c:pt idx="88">
                  <c:v>520.27811647974545</c:v>
                </c:pt>
                <c:pt idx="89">
                  <c:v>528.47234141158344</c:v>
                </c:pt>
                <c:pt idx="90">
                  <c:v>536.73212014287617</c:v>
                </c:pt>
                <c:pt idx="91">
                  <c:v>545.05797710401919</c:v>
                </c:pt>
                <c:pt idx="92">
                  <c:v>553.45044092085129</c:v>
                </c:pt>
                <c:pt idx="93">
                  <c:v>561.91004444821806</c:v>
                </c:pt>
                <c:pt idx="94">
                  <c:v>570.43732480380379</c:v>
                </c:pt>
                <c:pt idx="95">
                  <c:v>579.03282340223427</c:v>
                </c:pt>
                <c:pt idx="96">
                  <c:v>587.69708598945215</c:v>
                </c:pt>
                <c:pt idx="97">
                  <c:v>596.43066267736765</c:v>
                </c:pt>
                <c:pt idx="98">
                  <c:v>605.2341079787866</c:v>
                </c:pt>
                <c:pt idx="99">
                  <c:v>614.10798084261694</c:v>
                </c:pt>
                <c:pt idx="100">
                  <c:v>623.05284468935781</c:v>
                </c:pt>
                <c:pt idx="101">
                  <c:v>632.06926744687269</c:v>
                </c:pt>
                <c:pt idx="102">
                  <c:v>641.15782158644765</c:v>
                </c:pt>
                <c:pt idx="103">
                  <c:v>650.31908415913915</c:v>
                </c:pt>
                <c:pt idx="104">
                  <c:v>659.55363683241239</c:v>
                </c:pt>
                <c:pt idx="105">
                  <c:v>668.86206592707163</c:v>
                </c:pt>
                <c:pt idx="106">
                  <c:v>678.24496245448813</c:v>
                </c:pt>
                <c:pt idx="107">
                  <c:v>687.70292215412405</c:v>
                </c:pt>
                <c:pt idx="108">
                  <c:v>697.23654553135702</c:v>
                </c:pt>
                <c:pt idx="109">
                  <c:v>706.84643789560789</c:v>
                </c:pt>
                <c:pt idx="110">
                  <c:v>716.53320939877278</c:v>
                </c:pt>
                <c:pt idx="111">
                  <c:v>726.29747507396291</c:v>
                </c:pt>
                <c:pt idx="112">
                  <c:v>736.13985487455466</c:v>
                </c:pt>
                <c:pt idx="113">
                  <c:v>746.06097371355111</c:v>
                </c:pt>
                <c:pt idx="114">
                  <c:v>756.06146150325947</c:v>
                </c:pt>
                <c:pt idx="115">
                  <c:v>766.14195319528551</c:v>
                </c:pt>
                <c:pt idx="116">
                  <c:v>776.30308882084785</c:v>
                </c:pt>
                <c:pt idx="117">
                  <c:v>786.5455135314146</c:v>
                </c:pt>
                <c:pt idx="118">
                  <c:v>796.8698776396659</c:v>
                </c:pt>
                <c:pt idx="119">
                  <c:v>807.27683666078315</c:v>
                </c:pt>
                <c:pt idx="120">
                  <c:v>817.76705135406939</c:v>
                </c:pt>
                <c:pt idx="121">
                  <c:v>828.34118776490197</c:v>
                </c:pt>
                <c:pt idx="122">
                  <c:v>838.99991726702115</c:v>
                </c:pt>
                <c:pt idx="123">
                  <c:v>849.74391660515732</c:v>
                </c:pt>
                <c:pt idx="124">
                  <c:v>860.57386793799867</c:v>
                </c:pt>
                <c:pt idx="125">
                  <c:v>871.4904588815026</c:v>
                </c:pt>
                <c:pt idx="126">
                  <c:v>882.49438255255461</c:v>
                </c:pt>
                <c:pt idx="127">
                  <c:v>893.58633761297506</c:v>
                </c:pt>
                <c:pt idx="128">
                  <c:v>904.76702831387888</c:v>
                </c:pt>
                <c:pt idx="129">
                  <c:v>916.03716454038988</c:v>
                </c:pt>
                <c:pt idx="130">
                  <c:v>927.39746185671311</c:v>
                </c:pt>
                <c:pt idx="131">
                  <c:v>938.84864155156674</c:v>
                </c:pt>
                <c:pt idx="132">
                  <c:v>950.39143068397937</c:v>
                </c:pt>
                <c:pt idx="133">
                  <c:v>962.02656212945124</c:v>
                </c:pt>
                <c:pt idx="134">
                  <c:v>973.75477462648689</c:v>
                </c:pt>
                <c:pt idx="135">
                  <c:v>985.57681282349881</c:v>
                </c:pt>
                <c:pt idx="136">
                  <c:v>997.49342732608682</c:v>
                </c:pt>
                <c:pt idx="137">
                  <c:v>1009.5053747446955</c:v>
                </c:pt>
                <c:pt idx="138">
                  <c:v>1021.613417742653</c:v>
                </c:pt>
                <c:pt idx="139">
                  <c:v>1033.8183250845943</c:v>
                </c:pt>
                <c:pt idx="140">
                  <c:v>1046.1208716852711</c:v>
                </c:pt>
                <c:pt idx="141">
                  <c:v>1058.5218386587533</c:v>
                </c:pt>
                <c:pt idx="142">
                  <c:v>1071.0220133680234</c:v>
                </c:pt>
                <c:pt idx="143">
                  <c:v>1083.6221894749676</c:v>
                </c:pt>
                <c:pt idx="144">
                  <c:v>1096.3231669907673</c:v>
                </c:pt>
                <c:pt idx="145">
                  <c:v>1109.1257523266934</c:v>
                </c:pt>
                <c:pt idx="146">
                  <c:v>1122.0307583453068</c:v>
                </c:pt>
                <c:pt idx="147">
                  <c:v>1135.0390044120693</c:v>
                </c:pt>
                <c:pt idx="148">
                  <c:v>1148.1513164473658</c:v>
                </c:pt>
                <c:pt idx="149">
                  <c:v>1161.3685269789446</c:v>
                </c:pt>
                <c:pt idx="150">
                  <c:v>1174.6914751947763</c:v>
                </c:pt>
                <c:pt idx="151">
                  <c:v>1188.1210069963345</c:v>
                </c:pt>
                <c:pt idx="152">
                  <c:v>1201.6579750523053</c:v>
                </c:pt>
                <c:pt idx="153">
                  <c:v>1215.3032388527238</c:v>
                </c:pt>
                <c:pt idx="154">
                  <c:v>1229.0576647635457</c:v>
                </c:pt>
                <c:pt idx="155">
                  <c:v>1242.9221260816541</c:v>
                </c:pt>
                <c:pt idx="156">
                  <c:v>1256.8975030903073</c:v>
                </c:pt>
                <c:pt idx="157">
                  <c:v>1270.9846831150298</c:v>
                </c:pt>
                <c:pt idx="158">
                  <c:v>1285.1845605799501</c:v>
                </c:pt>
                <c:pt idx="159">
                  <c:v>1299.4980370645897</c:v>
                </c:pt>
                <c:pt idx="160">
                  <c:v>1313.9260213611062</c:v>
                </c:pt>
                <c:pt idx="161">
                  <c:v>1328.4694295319953</c:v>
                </c:pt>
                <c:pt idx="162">
                  <c:v>1343.1291849682514</c:v>
                </c:pt>
                <c:pt idx="163">
                  <c:v>1357.9062184479972</c:v>
                </c:pt>
                <c:pt idx="164">
                  <c:v>1372.801468195581</c:v>
                </c:pt>
                <c:pt idx="165">
                  <c:v>1387.8158799411458</c:v>
                </c:pt>
                <c:pt idx="166">
                  <c:v>1402.9504069806749</c:v>
                </c:pt>
                <c:pt idx="167">
                  <c:v>1418.2060102365203</c:v>
                </c:pt>
                <c:pt idx="168">
                  <c:v>1433.5836583184125</c:v>
                </c:pt>
                <c:pt idx="169">
                  <c:v>1449.0843275849597</c:v>
                </c:pt>
                <c:pt idx="170">
                  <c:v>1464.7090022056393</c:v>
                </c:pt>
                <c:pt idx="171">
                  <c:v>1480.4586742232846</c:v>
                </c:pt>
                <c:pt idx="172">
                  <c:v>1496.3343436170708</c:v>
                </c:pt>
                <c:pt idx="173">
                  <c:v>1512.3370183660074</c:v>
                </c:pt>
                <c:pt idx="174">
                  <c:v>1528.4677145129353</c:v>
                </c:pt>
                <c:pt idx="175">
                  <c:v>1544.7274562290388</c:v>
                </c:pt>
                <c:pt idx="176">
                  <c:v>1561.1172758788712</c:v>
                </c:pt>
                <c:pt idx="177">
                  <c:v>1577.6382140859021</c:v>
                </c:pt>
                <c:pt idx="178">
                  <c:v>1594.2913197985893</c:v>
                </c:pt>
                <c:pt idx="179">
                  <c:v>1611.077650356978</c:v>
                </c:pt>
                <c:pt idx="180">
                  <c:v>1627.9982715598337</c:v>
                </c:pt>
                <c:pt idx="181">
                  <c:v>1645.0542577323124</c:v>
                </c:pt>
                <c:pt idx="182">
                  <c:v>1662.2466917941711</c:v>
                </c:pt>
                <c:pt idx="183">
                  <c:v>1679.5766653285243</c:v>
                </c:pt>
                <c:pt idx="184">
                  <c:v>1697.0452786511526</c:v>
                </c:pt>
                <c:pt idx="185">
                  <c:v>1714.6536408803618</c:v>
                </c:pt>
                <c:pt idx="186">
                  <c:v>1732.4028700074045</c:v>
                </c:pt>
                <c:pt idx="187">
                  <c:v>1750.2940929674639</c:v>
                </c:pt>
                <c:pt idx="188">
                  <c:v>1768.3284457112036</c:v>
                </c:pt>
                <c:pt idx="189">
                  <c:v>1786.5070732768934</c:v>
                </c:pt>
                <c:pt idx="190">
                  <c:v>1804.8311298631086</c:v>
                </c:pt>
                <c:pt idx="191">
                  <c:v>1823.3017789020134</c:v>
                </c:pt>
                <c:pt idx="192">
                  <c:v>1841.9201931332295</c:v>
                </c:pt>
                <c:pt idx="193">
                  <c:v>1860.6875546782953</c:v>
                </c:pt>
                <c:pt idx="194">
                  <c:v>1879.6050551157216</c:v>
                </c:pt>
                <c:pt idx="195">
                  <c:v>1898.6738955566473</c:v>
                </c:pt>
                <c:pt idx="196">
                  <c:v>1917.8952867211005</c:v>
                </c:pt>
                <c:pt idx="197">
                  <c:v>1937.2704490148694</c:v>
                </c:pt>
                <c:pt idx="198">
                  <c:v>1956.8006126069884</c:v>
                </c:pt>
                <c:pt idx="199">
                  <c:v>1976.4870175078443</c:v>
                </c:pt>
                <c:pt idx="200">
                  <c:v>1996.330913647907</c:v>
                </c:pt>
                <c:pt idx="201">
                  <c:v>2016.3335609570902</c:v>
                </c:pt>
                <c:pt idx="202">
                  <c:v>2036.4962294447469</c:v>
                </c:pt>
                <c:pt idx="203">
                  <c:v>2056.8201992803047</c:v>
                </c:pt>
                <c:pt idx="204">
                  <c:v>2077.3067608745473</c:v>
                </c:pt>
                <c:pt idx="205">
                  <c:v>2097.9572149615437</c:v>
                </c:pt>
                <c:pt idx="206">
                  <c:v>2118.7728726812361</c:v>
                </c:pt>
                <c:pt idx="207">
                  <c:v>2139.7550556626861</c:v>
                </c:pt>
                <c:pt idx="208">
                  <c:v>2160.9050961079879</c:v>
                </c:pt>
                <c:pt idx="209">
                  <c:v>2182.2243368768513</c:v>
                </c:pt>
                <c:pt idx="210">
                  <c:v>2203.7141315718663</c:v>
                </c:pt>
                <c:pt idx="211">
                  <c:v>2225.375844624441</c:v>
                </c:pt>
                <c:pt idx="212">
                  <c:v>2247.2108513814364</c:v>
                </c:pt>
                <c:pt idx="213">
                  <c:v>2269.2205381924878</c:v>
                </c:pt>
                <c:pt idx="214">
                  <c:v>2291.4063024980278</c:v>
                </c:pt>
                <c:pt idx="215">
                  <c:v>2313.7695529180119</c:v>
                </c:pt>
                <c:pt idx="216">
                  <c:v>2336.3117093413562</c:v>
                </c:pt>
                <c:pt idx="217">
                  <c:v>2359.0342030160868</c:v>
                </c:pt>
                <c:pt idx="218">
                  <c:v>2381.9384766402159</c:v>
                </c:pt>
                <c:pt idx="219">
                  <c:v>2405.0259844533375</c:v>
                </c:pt>
                <c:pt idx="220">
                  <c:v>2428.298192328964</c:v>
                </c:pt>
                <c:pt idx="221">
                  <c:v>2451.7565778675958</c:v>
                </c:pt>
                <c:pt idx="222">
                  <c:v>2475.4026304905365</c:v>
                </c:pt>
                <c:pt idx="223">
                  <c:v>2499.2378515344608</c:v>
                </c:pt>
                <c:pt idx="224">
                  <c:v>2523.2637543467363</c:v>
                </c:pt>
                <c:pt idx="225">
                  <c:v>2547.4818643815101</c:v>
                </c:pt>
                <c:pt idx="226">
                  <c:v>2571.8937192965627</c:v>
                </c:pt>
                <c:pt idx="227">
                  <c:v>2596.5008690509349</c:v>
                </c:pt>
                <c:pt idx="228">
                  <c:v>2621.3048760033421</c:v>
                </c:pt>
                <c:pt idx="229">
                  <c:v>2646.3073150113692</c:v>
                </c:pt>
                <c:pt idx="230">
                  <c:v>2671.5097735314603</c:v>
                </c:pt>
                <c:pt idx="231">
                  <c:v>2696.9138517197121</c:v>
                </c:pt>
                <c:pt idx="232">
                  <c:v>2722.5211625334696</c:v>
                </c:pt>
                <c:pt idx="233">
                  <c:v>2748.3333318337377</c:v>
                </c:pt>
                <c:pt idx="234">
                  <c:v>2774.3519984884078</c:v>
                </c:pt>
                <c:pt idx="235">
                  <c:v>2800.5788144763151</c:v>
                </c:pt>
                <c:pt idx="236">
                  <c:v>2827.0154449921256</c:v>
                </c:pt>
                <c:pt idx="237">
                  <c:v>2853.6635685520623</c:v>
                </c:pt>
                <c:pt idx="238">
                  <c:v>2880.524877100479</c:v>
                </c:pt>
                <c:pt idx="239">
                  <c:v>2907.6010761172829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C1-4ADD-AB25-AAAA96B79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9670008"/>
        <c:axId val="19607600"/>
      </c:lineChart>
      <c:catAx>
        <c:axId val="69670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607600"/>
        <c:crosses val="autoZero"/>
        <c:auto val="1"/>
        <c:lblAlgn val="ctr"/>
        <c:lblOffset val="100"/>
        <c:noMultiLvlLbl val="0"/>
      </c:catAx>
      <c:valAx>
        <c:axId val="19607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Dividendos (R$)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967000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312840</xdr:colOff>
      <xdr:row>25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312840</xdr:colOff>
      <xdr:row>47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opLeftCell="A2" zoomScaleNormal="100" workbookViewId="0">
      <selection activeCell="C24" sqref="C24"/>
    </sheetView>
  </sheetViews>
  <sheetFormatPr defaultColWidth="8.6640625" defaultRowHeight="14.4" x14ac:dyDescent="0.3"/>
  <cols>
    <col min="1" max="7" width="22" customWidth="1"/>
  </cols>
  <sheetData>
    <row r="1" spans="1:6" ht="7.5" customHeight="1" x14ac:dyDescent="0.3">
      <c r="A1" s="1"/>
      <c r="B1" s="1"/>
      <c r="C1" s="1"/>
      <c r="D1" s="1"/>
      <c r="E1" s="1"/>
      <c r="F1" s="1"/>
    </row>
    <row r="2" spans="1:6" ht="49.5" customHeight="1" x14ac:dyDescent="0.3">
      <c r="A2" s="1"/>
      <c r="B2" s="19" t="s">
        <v>0</v>
      </c>
      <c r="C2" s="20"/>
      <c r="D2" s="20"/>
      <c r="E2" s="20"/>
      <c r="F2" s="20"/>
    </row>
    <row r="3" spans="1:6" ht="9.75" customHeight="1" x14ac:dyDescent="0.3">
      <c r="A3" s="1"/>
      <c r="B3" s="1"/>
      <c r="C3" s="1"/>
      <c r="D3" s="1"/>
      <c r="E3" s="1"/>
      <c r="F3" s="1"/>
    </row>
    <row r="4" spans="1:6" ht="21.75" customHeight="1" x14ac:dyDescent="0.3">
      <c r="A4" s="1"/>
      <c r="B4" s="21" t="s">
        <v>1</v>
      </c>
      <c r="C4" s="18"/>
      <c r="D4" s="1"/>
      <c r="E4" s="21" t="s">
        <v>2</v>
      </c>
      <c r="F4" s="18"/>
    </row>
    <row r="5" spans="1:6" ht="27.75" customHeight="1" x14ac:dyDescent="0.3">
      <c r="A5" s="1"/>
      <c r="B5" s="2" t="s">
        <v>3</v>
      </c>
      <c r="C5" s="3">
        <v>500</v>
      </c>
      <c r="D5" s="1"/>
      <c r="E5" s="2" t="s">
        <v>4</v>
      </c>
      <c r="F5" s="4">
        <f>IF(C12=0,0,C13/C12)</f>
        <v>1.6684789117493177</v>
      </c>
    </row>
    <row r="6" spans="1:6" ht="27.75" customHeight="1" x14ac:dyDescent="0.3">
      <c r="A6" s="1"/>
      <c r="B6" s="2" t="s">
        <v>5</v>
      </c>
      <c r="C6" s="5">
        <v>120</v>
      </c>
      <c r="D6" s="1"/>
      <c r="E6" s="2" t="s">
        <v>6</v>
      </c>
      <c r="F6" s="6">
        <f>(1+C7)^12-1</f>
        <v>0.10033869371614701</v>
      </c>
    </row>
    <row r="7" spans="1:6" ht="27.75" customHeight="1" x14ac:dyDescent="0.3">
      <c r="A7" s="1"/>
      <c r="B7" s="2" t="s">
        <v>7</v>
      </c>
      <c r="C7" s="6">
        <v>8.0000000000000002E-3</v>
      </c>
      <c r="D7" s="1"/>
      <c r="E7" s="2" t="s">
        <v>8</v>
      </c>
      <c r="F7" s="3">
        <f>C16/30</f>
        <v>26.695662587989084</v>
      </c>
    </row>
    <row r="8" spans="1:6" ht="27.75" customHeight="1" x14ac:dyDescent="0.3">
      <c r="A8" s="1"/>
      <c r="B8" s="2" t="s">
        <v>9</v>
      </c>
      <c r="C8" s="3">
        <v>0</v>
      </c>
      <c r="D8" s="1"/>
      <c r="E8" s="2" t="s">
        <v>10</v>
      </c>
      <c r="F8" s="5">
        <f>IF(C7=0,"∞",IFERROR(LOG(1000/(C5*C7)+1,1+C7),"∞"))</f>
        <v>693.44067488605333</v>
      </c>
    </row>
    <row r="9" spans="1:6" ht="27.75" customHeight="1" x14ac:dyDescent="0.3">
      <c r="A9" s="1"/>
      <c r="B9" s="2" t="s">
        <v>11</v>
      </c>
      <c r="C9" s="7" t="s">
        <v>12</v>
      </c>
      <c r="D9" s="1"/>
      <c r="E9" s="2" t="s">
        <v>13</v>
      </c>
      <c r="F9" s="3">
        <f>IF(C7=0,0,5000/((1+C7)^C6-1)*C7)</f>
        <v>24.972845849745397</v>
      </c>
    </row>
    <row r="10" spans="1:6" ht="9.75" customHeight="1" x14ac:dyDescent="0.3">
      <c r="A10" s="1"/>
      <c r="B10" s="1"/>
      <c r="C10" s="1"/>
      <c r="D10" s="1"/>
      <c r="E10" s="1"/>
      <c r="F10" s="1"/>
    </row>
    <row r="11" spans="1:6" ht="21.75" customHeight="1" x14ac:dyDescent="0.3">
      <c r="A11" s="1"/>
      <c r="B11" s="21" t="s">
        <v>14</v>
      </c>
      <c r="C11" s="18"/>
      <c r="D11" s="1"/>
      <c r="E11" s="25" t="s">
        <v>15</v>
      </c>
      <c r="F11" s="26"/>
    </row>
    <row r="12" spans="1:6" ht="21.75" customHeight="1" x14ac:dyDescent="0.3">
      <c r="A12" s="1"/>
      <c r="B12" s="2" t="s">
        <v>16</v>
      </c>
      <c r="C12" s="3">
        <f>C5*C6+C8</f>
        <v>60000</v>
      </c>
      <c r="D12" s="1"/>
      <c r="E12" s="22" t="s">
        <v>17</v>
      </c>
      <c r="F12" s="15"/>
    </row>
    <row r="13" spans="1:6" ht="21.75" customHeight="1" x14ac:dyDescent="0.3">
      <c r="A13" s="1"/>
      <c r="B13" s="27" t="s">
        <v>31</v>
      </c>
      <c r="C13" s="9">
        <f>IF(C9="SIM",C8*(1+C7)^C6+C5*((1+C7)^C6-1)/C7,C8+C5*C6+C8*C7*C6+C5*C7*C6*(C6+1)/2)</f>
        <v>100108.73470495906</v>
      </c>
      <c r="D13" s="1"/>
      <c r="E13" s="23" t="s">
        <v>18</v>
      </c>
      <c r="F13" s="24"/>
    </row>
    <row r="14" spans="1:6" ht="21.75" customHeight="1" x14ac:dyDescent="0.3">
      <c r="A14" s="1"/>
      <c r="B14" s="28" t="s">
        <v>32</v>
      </c>
      <c r="C14" s="3">
        <f>C13-C12</f>
        <v>40108.734704959061</v>
      </c>
      <c r="D14" s="1"/>
      <c r="E14" s="22" t="s">
        <v>19</v>
      </c>
      <c r="F14" s="15"/>
    </row>
    <row r="15" spans="1:6" ht="21.75" customHeight="1" x14ac:dyDescent="0.3">
      <c r="A15" s="1"/>
      <c r="B15" s="28" t="s">
        <v>33</v>
      </c>
      <c r="C15" s="6">
        <f>IF(C12=0,0,(C13-C12)/C12)</f>
        <v>0.66847891174931773</v>
      </c>
      <c r="D15" s="1"/>
      <c r="E15" s="22" t="s">
        <v>20</v>
      </c>
      <c r="F15" s="15"/>
    </row>
    <row r="16" spans="1:6" ht="21.75" customHeight="1" x14ac:dyDescent="0.3">
      <c r="A16" s="1"/>
      <c r="B16" s="27" t="s">
        <v>34</v>
      </c>
      <c r="C16" s="9">
        <f>C13*C7</f>
        <v>800.8698776396725</v>
      </c>
      <c r="D16" s="1"/>
      <c r="E16" s="22" t="s">
        <v>21</v>
      </c>
      <c r="F16" s="15"/>
    </row>
    <row r="17" spans="1:6" ht="21.75" customHeight="1" x14ac:dyDescent="0.3">
      <c r="A17" s="1"/>
      <c r="B17" s="28" t="s">
        <v>35</v>
      </c>
      <c r="C17" s="3">
        <f>C16*12</f>
        <v>9610.4385316760709</v>
      </c>
      <c r="D17" s="1"/>
      <c r="E17" s="22" t="s">
        <v>22</v>
      </c>
      <c r="F17" s="15"/>
    </row>
    <row r="18" spans="1:6" ht="9.75" customHeight="1" x14ac:dyDescent="0.3"/>
  </sheetData>
  <mergeCells count="10">
    <mergeCell ref="E17:F17"/>
    <mergeCell ref="B4:C4"/>
    <mergeCell ref="E12:F12"/>
    <mergeCell ref="E4:F4"/>
    <mergeCell ref="E16:F16"/>
    <mergeCell ref="B2:F2"/>
    <mergeCell ref="B11:C11"/>
    <mergeCell ref="E15:F15"/>
    <mergeCell ref="E11:F11"/>
    <mergeCell ref="E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4"/>
  <sheetViews>
    <sheetView showGridLines="0" topLeftCell="A81" zoomScaleNormal="100" workbookViewId="0">
      <selection activeCell="L14" sqref="L14"/>
    </sheetView>
  </sheetViews>
  <sheetFormatPr defaultColWidth="8.6640625" defaultRowHeight="14.4" x14ac:dyDescent="0.3"/>
  <cols>
    <col min="1" max="5" width="22" customWidth="1"/>
    <col min="6" max="6" width="21" customWidth="1"/>
    <col min="7" max="7" width="3.44140625" customWidth="1"/>
    <col min="8" max="8" width="3" customWidth="1"/>
  </cols>
  <sheetData>
    <row r="1" spans="1:9" ht="7.5" customHeight="1" x14ac:dyDescent="0.3">
      <c r="A1" s="1"/>
      <c r="B1" s="1"/>
      <c r="C1" s="1"/>
      <c r="D1" s="1"/>
      <c r="E1" s="1"/>
      <c r="F1" s="1"/>
      <c r="G1" s="1"/>
    </row>
    <row r="2" spans="1:9" ht="49.5" customHeight="1" x14ac:dyDescent="0.3">
      <c r="A2" s="1"/>
      <c r="B2" s="16" t="s">
        <v>23</v>
      </c>
      <c r="C2" s="17"/>
      <c r="D2" s="17"/>
      <c r="E2" s="17"/>
      <c r="F2" s="17"/>
      <c r="G2" s="17"/>
    </row>
    <row r="3" spans="1:9" ht="7.5" customHeight="1" x14ac:dyDescent="0.3">
      <c r="A3" s="1"/>
      <c r="B3" s="1"/>
      <c r="C3" s="1"/>
      <c r="D3" s="1"/>
      <c r="E3" s="1"/>
      <c r="F3" s="1"/>
      <c r="G3" s="1"/>
    </row>
    <row r="4" spans="1:9" ht="24" customHeight="1" x14ac:dyDescent="0.3">
      <c r="A4" s="1"/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"/>
    </row>
    <row r="5" spans="1:9" ht="18" customHeight="1" x14ac:dyDescent="0.3">
      <c r="A5" s="1"/>
      <c r="B5" s="11">
        <v>1</v>
      </c>
      <c r="C5" s="3">
        <f>Simulador!$C$8+Simulador!$C$5*B5</f>
        <v>500</v>
      </c>
      <c r="D5" s="3">
        <f>IF(Simulador!$C$9="SIM",(Simulador!$C$8+Simulador!$C$5)*(1+Simulador!$C$7),Simulador!$C$8+Simulador!$C$5+Simulador!$C$8*Simulador!$C$7)</f>
        <v>504</v>
      </c>
      <c r="E5" s="3">
        <f>D5*Simulador!$C$7</f>
        <v>4.032</v>
      </c>
      <c r="F5" s="3">
        <f>E5</f>
        <v>4.032</v>
      </c>
      <c r="G5" s="1"/>
    </row>
    <row r="6" spans="1:9" ht="18" customHeight="1" x14ac:dyDescent="0.3">
      <c r="A6" s="1"/>
      <c r="B6" s="8">
        <v>2</v>
      </c>
      <c r="C6" s="12">
        <f>Simulador!$C$8+Simulador!$C$5*B6</f>
        <v>1000</v>
      </c>
      <c r="D6" s="12">
        <f>IF(Simulador!$C$9="SIM",(D5+Simulador!$C$5)*(1+Simulador!$C$7),D5+Simulador!$C$5+D5*Simulador!$C$7)</f>
        <v>1012.032</v>
      </c>
      <c r="E6" s="12">
        <f>D6*Simulador!$C$7</f>
        <v>8.0962560000000003</v>
      </c>
      <c r="F6" s="12">
        <f t="shared" ref="F6:F69" si="0">F5+E6</f>
        <v>12.128256</v>
      </c>
      <c r="G6" s="1"/>
    </row>
    <row r="7" spans="1:9" ht="18" customHeight="1" x14ac:dyDescent="0.3">
      <c r="A7" s="1"/>
      <c r="B7" s="11">
        <v>3</v>
      </c>
      <c r="C7" s="3">
        <f>Simulador!$C$8+Simulador!$C$5*B7</f>
        <v>1500</v>
      </c>
      <c r="D7" s="3">
        <f>IF(Simulador!$C$9="SIM",(D6+Simulador!$C$5)*(1+Simulador!$C$7),D6+Simulador!$C$5+D6*Simulador!$C$7)</f>
        <v>1524.1282560000002</v>
      </c>
      <c r="E7" s="3">
        <f>D7*Simulador!$C$7</f>
        <v>12.193026048000002</v>
      </c>
      <c r="F7" s="3">
        <f t="shared" si="0"/>
        <v>24.321282048</v>
      </c>
      <c r="G7" s="1"/>
    </row>
    <row r="8" spans="1:9" ht="18" customHeight="1" x14ac:dyDescent="0.3">
      <c r="A8" s="1"/>
      <c r="B8" s="8">
        <v>4</v>
      </c>
      <c r="C8" s="12">
        <f>Simulador!$C$8+Simulador!$C$5*B8</f>
        <v>2000</v>
      </c>
      <c r="D8" s="12">
        <f>IF(Simulador!$C$9="SIM",(D7+Simulador!$C$5)*(1+Simulador!$C$7),D7+Simulador!$C$5+D7*Simulador!$C$7)</f>
        <v>2040.3212820480003</v>
      </c>
      <c r="E8" s="12">
        <f>D8*Simulador!$C$7</f>
        <v>16.322570256384001</v>
      </c>
      <c r="F8" s="12">
        <f t="shared" si="0"/>
        <v>40.643852304383998</v>
      </c>
      <c r="G8" s="1"/>
    </row>
    <row r="9" spans="1:9" ht="18" customHeight="1" x14ac:dyDescent="0.3">
      <c r="A9" s="1"/>
      <c r="B9" s="11">
        <v>5</v>
      </c>
      <c r="C9" s="3">
        <f>Simulador!$C$8+Simulador!$C$5*B9</f>
        <v>2500</v>
      </c>
      <c r="D9" s="3">
        <f>IF(Simulador!$C$9="SIM",(D8+Simulador!$C$5)*(1+Simulador!$C$7),D8+Simulador!$C$5+D8*Simulador!$C$7)</f>
        <v>2560.6438523043844</v>
      </c>
      <c r="E9" s="3">
        <f>D9*Simulador!$C$7</f>
        <v>20.485150818435077</v>
      </c>
      <c r="F9" s="3">
        <f t="shared" si="0"/>
        <v>61.129003122819071</v>
      </c>
      <c r="G9" s="1"/>
    </row>
    <row r="10" spans="1:9" ht="18" customHeight="1" x14ac:dyDescent="0.3">
      <c r="A10" s="1"/>
      <c r="B10" s="8">
        <v>6</v>
      </c>
      <c r="C10" s="12">
        <f>Simulador!$C$8+Simulador!$C$5*B10</f>
        <v>3000</v>
      </c>
      <c r="D10" s="12">
        <f>IF(Simulador!$C$9="SIM",(D9+Simulador!$C$5)*(1+Simulador!$C$7),D9+Simulador!$C$5+D9*Simulador!$C$7)</f>
        <v>3085.1290031228195</v>
      </c>
      <c r="E10" s="12">
        <f>D10*Simulador!$C$7</f>
        <v>24.681032024982557</v>
      </c>
      <c r="F10" s="12">
        <f t="shared" si="0"/>
        <v>85.810035147801628</v>
      </c>
      <c r="G10" s="1"/>
      <c r="I10" t="s">
        <v>36</v>
      </c>
    </row>
    <row r="11" spans="1:9" ht="18" customHeight="1" x14ac:dyDescent="0.3">
      <c r="A11" s="1"/>
      <c r="B11" s="11">
        <v>7</v>
      </c>
      <c r="C11" s="3">
        <f>Simulador!$C$8+Simulador!$C$5*B11</f>
        <v>3500</v>
      </c>
      <c r="D11" s="3">
        <f>IF(Simulador!$C$9="SIM",(D10+Simulador!$C$5)*(1+Simulador!$C$7),D10+Simulador!$C$5+D10*Simulador!$C$7)</f>
        <v>3613.810035147802</v>
      </c>
      <c r="E11" s="3">
        <f>D11*Simulador!$C$7</f>
        <v>28.910480281182416</v>
      </c>
      <c r="F11" s="3">
        <f t="shared" si="0"/>
        <v>114.72051542898404</v>
      </c>
      <c r="G11" s="1"/>
    </row>
    <row r="12" spans="1:9" ht="18" customHeight="1" x14ac:dyDescent="0.3">
      <c r="A12" s="1"/>
      <c r="B12" s="8">
        <v>8</v>
      </c>
      <c r="C12" s="12">
        <f>Simulador!$C$8+Simulador!$C$5*B12</f>
        <v>4000</v>
      </c>
      <c r="D12" s="12">
        <f>IF(Simulador!$C$9="SIM",(D11+Simulador!$C$5)*(1+Simulador!$C$7),D11+Simulador!$C$5+D11*Simulador!$C$7)</f>
        <v>4146.720515428985</v>
      </c>
      <c r="E12" s="12">
        <f>D12*Simulador!$C$7</f>
        <v>33.17376412343188</v>
      </c>
      <c r="F12" s="12">
        <f t="shared" si="0"/>
        <v>147.89427955241592</v>
      </c>
      <c r="G12" s="1"/>
    </row>
    <row r="13" spans="1:9" ht="18" customHeight="1" x14ac:dyDescent="0.3">
      <c r="A13" s="1"/>
      <c r="B13" s="11">
        <v>9</v>
      </c>
      <c r="C13" s="3">
        <f>Simulador!$C$8+Simulador!$C$5*B13</f>
        <v>4500</v>
      </c>
      <c r="D13" s="3">
        <f>IF(Simulador!$C$9="SIM",(D12+Simulador!$C$5)*(1+Simulador!$C$7),D12+Simulador!$C$5+D12*Simulador!$C$7)</f>
        <v>4683.8942795524172</v>
      </c>
      <c r="E13" s="3">
        <f>D13*Simulador!$C$7</f>
        <v>37.471154236419338</v>
      </c>
      <c r="F13" s="3">
        <f t="shared" si="0"/>
        <v>185.36543378883528</v>
      </c>
      <c r="G13" s="1"/>
    </row>
    <row r="14" spans="1:9" ht="18" customHeight="1" x14ac:dyDescent="0.3">
      <c r="A14" s="1"/>
      <c r="B14" s="8">
        <v>10</v>
      </c>
      <c r="C14" s="12">
        <f>Simulador!$C$8+Simulador!$C$5*B14</f>
        <v>5000</v>
      </c>
      <c r="D14" s="12">
        <f>IF(Simulador!$C$9="SIM",(D13+Simulador!$C$5)*(1+Simulador!$C$7),D13+Simulador!$C$5+D13*Simulador!$C$7)</f>
        <v>5225.3654337888365</v>
      </c>
      <c r="E14" s="12">
        <f>D14*Simulador!$C$7</f>
        <v>41.802923470310695</v>
      </c>
      <c r="F14" s="12">
        <f t="shared" si="0"/>
        <v>227.16835725914598</v>
      </c>
      <c r="G14" s="1"/>
    </row>
    <row r="15" spans="1:9" ht="18" customHeight="1" x14ac:dyDescent="0.3">
      <c r="A15" s="1"/>
      <c r="B15" s="11">
        <v>11</v>
      </c>
      <c r="C15" s="3">
        <f>Simulador!$C$8+Simulador!$C$5*B15</f>
        <v>5500</v>
      </c>
      <c r="D15" s="3">
        <f>IF(Simulador!$C$9="SIM",(D14+Simulador!$C$5)*(1+Simulador!$C$7),D14+Simulador!$C$5+D14*Simulador!$C$7)</f>
        <v>5771.1683572591473</v>
      </c>
      <c r="E15" s="3">
        <f>D15*Simulador!$C$7</f>
        <v>46.169346858073183</v>
      </c>
      <c r="F15" s="3">
        <f t="shared" si="0"/>
        <v>273.33770411721918</v>
      </c>
      <c r="G15" s="1"/>
    </row>
    <row r="16" spans="1:9" ht="18" customHeight="1" x14ac:dyDescent="0.3">
      <c r="A16" s="1"/>
      <c r="B16" s="8">
        <v>12</v>
      </c>
      <c r="C16" s="12">
        <f>Simulador!$C$8+Simulador!$C$5*B16</f>
        <v>6000</v>
      </c>
      <c r="D16" s="9">
        <f>IF(Simulador!$C$9="SIM",(D15+Simulador!$C$5)*(1+Simulador!$C$7),D15+Simulador!$C$5+D15*Simulador!$C$7)</f>
        <v>6321.3377041172207</v>
      </c>
      <c r="E16" s="12">
        <f>D16*Simulador!$C$7</f>
        <v>50.570701632937769</v>
      </c>
      <c r="F16" s="12">
        <f t="shared" si="0"/>
        <v>323.90840575015693</v>
      </c>
      <c r="G16" s="1"/>
    </row>
    <row r="17" spans="1:7" ht="18" customHeight="1" x14ac:dyDescent="0.3">
      <c r="A17" s="1"/>
      <c r="B17" s="11">
        <v>13</v>
      </c>
      <c r="C17" s="3">
        <f>Simulador!$C$8+Simulador!$C$5*B17</f>
        <v>6500</v>
      </c>
      <c r="D17" s="3">
        <f>IF(Simulador!$C$9="SIM",(D16+Simulador!$C$5)*(1+Simulador!$C$7),D16+Simulador!$C$5+D16*Simulador!$C$7)</f>
        <v>6875.9084057501586</v>
      </c>
      <c r="E17" s="3">
        <f>D17*Simulador!$C$7</f>
        <v>55.00726724600127</v>
      </c>
      <c r="F17" s="3">
        <f t="shared" si="0"/>
        <v>378.91567299615821</v>
      </c>
      <c r="G17" s="1"/>
    </row>
    <row r="18" spans="1:7" ht="18" customHeight="1" x14ac:dyDescent="0.3">
      <c r="A18" s="1"/>
      <c r="B18" s="8">
        <v>14</v>
      </c>
      <c r="C18" s="12">
        <f>Simulador!$C$8+Simulador!$C$5*B18</f>
        <v>7000</v>
      </c>
      <c r="D18" s="12">
        <f>IF(Simulador!$C$9="SIM",(D17+Simulador!$C$5)*(1+Simulador!$C$7),D17+Simulador!$C$5+D17*Simulador!$C$7)</f>
        <v>7434.9156729961596</v>
      </c>
      <c r="E18" s="12">
        <f>D18*Simulador!$C$7</f>
        <v>59.479325383969275</v>
      </c>
      <c r="F18" s="12">
        <f t="shared" si="0"/>
        <v>438.3949983801275</v>
      </c>
      <c r="G18" s="1"/>
    </row>
    <row r="19" spans="1:7" ht="18" customHeight="1" x14ac:dyDescent="0.3">
      <c r="A19" s="1"/>
      <c r="B19" s="11">
        <v>15</v>
      </c>
      <c r="C19" s="3">
        <f>Simulador!$C$8+Simulador!$C$5*B19</f>
        <v>7500</v>
      </c>
      <c r="D19" s="3">
        <f>IF(Simulador!$C$9="SIM",(D18+Simulador!$C$5)*(1+Simulador!$C$7),D18+Simulador!$C$5+D18*Simulador!$C$7)</f>
        <v>7998.3949983801285</v>
      </c>
      <c r="E19" s="3">
        <f>D19*Simulador!$C$7</f>
        <v>63.987159987041032</v>
      </c>
      <c r="F19" s="3">
        <f t="shared" si="0"/>
        <v>502.38215836716853</v>
      </c>
      <c r="G19" s="1"/>
    </row>
    <row r="20" spans="1:7" ht="18" customHeight="1" x14ac:dyDescent="0.3">
      <c r="A20" s="1"/>
      <c r="B20" s="8">
        <v>16</v>
      </c>
      <c r="C20" s="12">
        <f>Simulador!$C$8+Simulador!$C$5*B20</f>
        <v>8000</v>
      </c>
      <c r="D20" s="12">
        <f>IF(Simulador!$C$9="SIM",(D19+Simulador!$C$5)*(1+Simulador!$C$7),D19+Simulador!$C$5+D19*Simulador!$C$7)</f>
        <v>8566.3821583671688</v>
      </c>
      <c r="E20" s="12">
        <f>D20*Simulador!$C$7</f>
        <v>68.531057266937353</v>
      </c>
      <c r="F20" s="12">
        <f t="shared" si="0"/>
        <v>570.91321563410588</v>
      </c>
      <c r="G20" s="1"/>
    </row>
    <row r="21" spans="1:7" ht="18" customHeight="1" x14ac:dyDescent="0.3">
      <c r="A21" s="1"/>
      <c r="B21" s="11">
        <v>17</v>
      </c>
      <c r="C21" s="3">
        <f>Simulador!$C$8+Simulador!$C$5*B21</f>
        <v>8500</v>
      </c>
      <c r="D21" s="3">
        <f>IF(Simulador!$C$9="SIM",(D20+Simulador!$C$5)*(1+Simulador!$C$7),D20+Simulador!$C$5+D20*Simulador!$C$7)</f>
        <v>9138.9132156341057</v>
      </c>
      <c r="E21" s="3">
        <f>D21*Simulador!$C$7</f>
        <v>73.111305725072853</v>
      </c>
      <c r="F21" s="3">
        <f t="shared" si="0"/>
        <v>644.02452135917872</v>
      </c>
      <c r="G21" s="1"/>
    </row>
    <row r="22" spans="1:7" ht="18" customHeight="1" x14ac:dyDescent="0.3">
      <c r="A22" s="1"/>
      <c r="B22" s="8">
        <v>18</v>
      </c>
      <c r="C22" s="12">
        <f>Simulador!$C$8+Simulador!$C$5*B22</f>
        <v>9000</v>
      </c>
      <c r="D22" s="12">
        <f>IF(Simulador!$C$9="SIM",(D21+Simulador!$C$5)*(1+Simulador!$C$7),D21+Simulador!$C$5+D21*Simulador!$C$7)</f>
        <v>9716.0245213591788</v>
      </c>
      <c r="E22" s="12">
        <f>D22*Simulador!$C$7</f>
        <v>77.728196170873431</v>
      </c>
      <c r="F22" s="12">
        <f t="shared" si="0"/>
        <v>721.75271753005211</v>
      </c>
      <c r="G22" s="1"/>
    </row>
    <row r="23" spans="1:7" ht="18" customHeight="1" x14ac:dyDescent="0.3">
      <c r="A23" s="1"/>
      <c r="B23" s="11">
        <v>19</v>
      </c>
      <c r="C23" s="3">
        <f>Simulador!$C$8+Simulador!$C$5*B23</f>
        <v>9500</v>
      </c>
      <c r="D23" s="3">
        <f>IF(Simulador!$C$9="SIM",(D22+Simulador!$C$5)*(1+Simulador!$C$7),D22+Simulador!$C$5+D22*Simulador!$C$7)</f>
        <v>10297.752717530053</v>
      </c>
      <c r="E23" s="3">
        <f>D23*Simulador!$C$7</f>
        <v>82.382021740240418</v>
      </c>
      <c r="F23" s="3">
        <f t="shared" si="0"/>
        <v>804.13473927029258</v>
      </c>
      <c r="G23" s="1"/>
    </row>
    <row r="24" spans="1:7" ht="18" customHeight="1" x14ac:dyDescent="0.3">
      <c r="A24" s="1"/>
      <c r="B24" s="8">
        <v>20</v>
      </c>
      <c r="C24" s="12">
        <f>Simulador!$C$8+Simulador!$C$5*B24</f>
        <v>10000</v>
      </c>
      <c r="D24" s="12">
        <f>IF(Simulador!$C$9="SIM",(D23+Simulador!$C$5)*(1+Simulador!$C$7),D23+Simulador!$C$5+D23*Simulador!$C$7)</f>
        <v>10884.134739270294</v>
      </c>
      <c r="E24" s="12">
        <f>D24*Simulador!$C$7</f>
        <v>87.073077914162354</v>
      </c>
      <c r="F24" s="12">
        <f t="shared" si="0"/>
        <v>891.20781718445494</v>
      </c>
      <c r="G24" s="1"/>
    </row>
    <row r="25" spans="1:7" ht="18" customHeight="1" x14ac:dyDescent="0.3">
      <c r="A25" s="1"/>
      <c r="B25" s="11">
        <v>21</v>
      </c>
      <c r="C25" s="3">
        <f>Simulador!$C$8+Simulador!$C$5*B25</f>
        <v>10500</v>
      </c>
      <c r="D25" s="3">
        <f>IF(Simulador!$C$9="SIM",(D24+Simulador!$C$5)*(1+Simulador!$C$7),D24+Simulador!$C$5+D24*Simulador!$C$7)</f>
        <v>11475.207817184457</v>
      </c>
      <c r="E25" s="3">
        <f>D25*Simulador!$C$7</f>
        <v>91.80166253747565</v>
      </c>
      <c r="F25" s="3">
        <f t="shared" si="0"/>
        <v>983.00947972193057</v>
      </c>
      <c r="G25" s="1"/>
    </row>
    <row r="26" spans="1:7" ht="18" customHeight="1" x14ac:dyDescent="0.3">
      <c r="A26" s="1"/>
      <c r="B26" s="8">
        <v>22</v>
      </c>
      <c r="C26" s="12">
        <f>Simulador!$C$8+Simulador!$C$5*B26</f>
        <v>11000</v>
      </c>
      <c r="D26" s="12">
        <f>IF(Simulador!$C$9="SIM",(D25+Simulador!$C$5)*(1+Simulador!$C$7),D25+Simulador!$C$5+D25*Simulador!$C$7)</f>
        <v>12071.009479721932</v>
      </c>
      <c r="E26" s="12">
        <f>D26*Simulador!$C$7</f>
        <v>96.568075837775453</v>
      </c>
      <c r="F26" s="12">
        <f t="shared" si="0"/>
        <v>1079.5775555597061</v>
      </c>
      <c r="G26" s="1"/>
    </row>
    <row r="27" spans="1:7" ht="18" customHeight="1" x14ac:dyDescent="0.3">
      <c r="A27" s="1"/>
      <c r="B27" s="11">
        <v>23</v>
      </c>
      <c r="C27" s="3">
        <f>Simulador!$C$8+Simulador!$C$5*B27</f>
        <v>11500</v>
      </c>
      <c r="D27" s="3">
        <f>IF(Simulador!$C$9="SIM",(D26+Simulador!$C$5)*(1+Simulador!$C$7),D26+Simulador!$C$5+D26*Simulador!$C$7)</f>
        <v>12671.577555559707</v>
      </c>
      <c r="E27" s="3">
        <f>D27*Simulador!$C$7</f>
        <v>101.37262044447766</v>
      </c>
      <c r="F27" s="3">
        <f t="shared" si="0"/>
        <v>1180.9501760041837</v>
      </c>
      <c r="G27" s="1"/>
    </row>
    <row r="28" spans="1:7" ht="18" customHeight="1" x14ac:dyDescent="0.3">
      <c r="A28" s="1"/>
      <c r="B28" s="8">
        <v>24</v>
      </c>
      <c r="C28" s="12">
        <f>Simulador!$C$8+Simulador!$C$5*B28</f>
        <v>12000</v>
      </c>
      <c r="D28" s="9">
        <f>IF(Simulador!$C$9="SIM",(D27+Simulador!$C$5)*(1+Simulador!$C$7),D27+Simulador!$C$5+D27*Simulador!$C$7)</f>
        <v>13276.950176004184</v>
      </c>
      <c r="E28" s="12">
        <f>D28*Simulador!$C$7</f>
        <v>106.21560140803348</v>
      </c>
      <c r="F28" s="12">
        <f t="shared" si="0"/>
        <v>1287.1657774122173</v>
      </c>
      <c r="G28" s="1"/>
    </row>
    <row r="29" spans="1:7" ht="18" customHeight="1" x14ac:dyDescent="0.3">
      <c r="A29" s="1"/>
      <c r="B29" s="11">
        <v>25</v>
      </c>
      <c r="C29" s="3">
        <f>Simulador!$C$8+Simulador!$C$5*B29</f>
        <v>12500</v>
      </c>
      <c r="D29" s="3">
        <f>IF(Simulador!$C$9="SIM",(D28+Simulador!$C$5)*(1+Simulador!$C$7),D28+Simulador!$C$5+D28*Simulador!$C$7)</f>
        <v>13887.165777412218</v>
      </c>
      <c r="E29" s="3">
        <f>D29*Simulador!$C$7</f>
        <v>111.09732621929774</v>
      </c>
      <c r="F29" s="3">
        <f t="shared" si="0"/>
        <v>1398.2631036315149</v>
      </c>
      <c r="G29" s="1"/>
    </row>
    <row r="30" spans="1:7" ht="18" customHeight="1" x14ac:dyDescent="0.3">
      <c r="A30" s="1"/>
      <c r="B30" s="8">
        <v>26</v>
      </c>
      <c r="C30" s="12">
        <f>Simulador!$C$8+Simulador!$C$5*B30</f>
        <v>13000</v>
      </c>
      <c r="D30" s="12">
        <f>IF(Simulador!$C$9="SIM",(D29+Simulador!$C$5)*(1+Simulador!$C$7),D29+Simulador!$C$5+D29*Simulador!$C$7)</f>
        <v>14502.263103631516</v>
      </c>
      <c r="E30" s="12">
        <f>D30*Simulador!$C$7</f>
        <v>116.01810482905213</v>
      </c>
      <c r="F30" s="12">
        <f t="shared" si="0"/>
        <v>1514.2812084605671</v>
      </c>
      <c r="G30" s="1"/>
    </row>
    <row r="31" spans="1:7" ht="18" customHeight="1" x14ac:dyDescent="0.3">
      <c r="A31" s="1"/>
      <c r="B31" s="11">
        <v>27</v>
      </c>
      <c r="C31" s="3">
        <f>Simulador!$C$8+Simulador!$C$5*B31</f>
        <v>13500</v>
      </c>
      <c r="D31" s="3">
        <f>IF(Simulador!$C$9="SIM",(D30+Simulador!$C$5)*(1+Simulador!$C$7),D30+Simulador!$C$5+D30*Simulador!$C$7)</f>
        <v>15122.281208460568</v>
      </c>
      <c r="E31" s="3">
        <f>D31*Simulador!$C$7</f>
        <v>120.97824966768455</v>
      </c>
      <c r="F31" s="3">
        <f t="shared" si="0"/>
        <v>1635.2594581282517</v>
      </c>
      <c r="G31" s="1"/>
    </row>
    <row r="32" spans="1:7" ht="18" customHeight="1" x14ac:dyDescent="0.3">
      <c r="A32" s="1"/>
      <c r="B32" s="8">
        <v>28</v>
      </c>
      <c r="C32" s="12">
        <f>Simulador!$C$8+Simulador!$C$5*B32</f>
        <v>14000</v>
      </c>
      <c r="D32" s="12">
        <f>IF(Simulador!$C$9="SIM",(D31+Simulador!$C$5)*(1+Simulador!$C$7),D31+Simulador!$C$5+D31*Simulador!$C$7)</f>
        <v>15747.259458128254</v>
      </c>
      <c r="E32" s="12">
        <f>D32*Simulador!$C$7</f>
        <v>125.97807566502603</v>
      </c>
      <c r="F32" s="12">
        <f t="shared" si="0"/>
        <v>1761.2375337932776</v>
      </c>
      <c r="G32" s="1"/>
    </row>
    <row r="33" spans="1:7" ht="18" customHeight="1" x14ac:dyDescent="0.3">
      <c r="A33" s="1"/>
      <c r="B33" s="11">
        <v>29</v>
      </c>
      <c r="C33" s="3">
        <f>Simulador!$C$8+Simulador!$C$5*B33</f>
        <v>14500</v>
      </c>
      <c r="D33" s="3">
        <f>IF(Simulador!$C$9="SIM",(D32+Simulador!$C$5)*(1+Simulador!$C$7),D32+Simulador!$C$5+D32*Simulador!$C$7)</f>
        <v>16377.237533793279</v>
      </c>
      <c r="E33" s="3">
        <f>D33*Simulador!$C$7</f>
        <v>131.01790027034625</v>
      </c>
      <c r="F33" s="3">
        <f t="shared" si="0"/>
        <v>1892.2554340636239</v>
      </c>
      <c r="G33" s="1"/>
    </row>
    <row r="34" spans="1:7" ht="18" customHeight="1" x14ac:dyDescent="0.3">
      <c r="A34" s="1"/>
      <c r="B34" s="8">
        <v>30</v>
      </c>
      <c r="C34" s="12">
        <f>Simulador!$C$8+Simulador!$C$5*B34</f>
        <v>15000</v>
      </c>
      <c r="D34" s="12">
        <f>IF(Simulador!$C$9="SIM",(D33+Simulador!$C$5)*(1+Simulador!$C$7),D33+Simulador!$C$5+D33*Simulador!$C$7)</f>
        <v>17012.255434063627</v>
      </c>
      <c r="E34" s="12">
        <f>D34*Simulador!$C$7</f>
        <v>136.098043472509</v>
      </c>
      <c r="F34" s="12">
        <f t="shared" si="0"/>
        <v>2028.3534775361329</v>
      </c>
      <c r="G34" s="1"/>
    </row>
    <row r="35" spans="1:7" ht="18" customHeight="1" x14ac:dyDescent="0.3">
      <c r="A35" s="1"/>
      <c r="B35" s="11">
        <v>31</v>
      </c>
      <c r="C35" s="3">
        <f>Simulador!$C$8+Simulador!$C$5*B35</f>
        <v>15500</v>
      </c>
      <c r="D35" s="3">
        <f>IF(Simulador!$C$9="SIM",(D34+Simulador!$C$5)*(1+Simulador!$C$7),D34+Simulador!$C$5+D34*Simulador!$C$7)</f>
        <v>17652.353477536137</v>
      </c>
      <c r="E35" s="3">
        <f>D35*Simulador!$C$7</f>
        <v>141.21882782028911</v>
      </c>
      <c r="F35" s="3">
        <f t="shared" si="0"/>
        <v>2169.572305356422</v>
      </c>
      <c r="G35" s="1"/>
    </row>
    <row r="36" spans="1:7" ht="18" customHeight="1" x14ac:dyDescent="0.3">
      <c r="A36" s="1"/>
      <c r="B36" s="8">
        <v>32</v>
      </c>
      <c r="C36" s="12">
        <f>Simulador!$C$8+Simulador!$C$5*B36</f>
        <v>16000</v>
      </c>
      <c r="D36" s="12">
        <f>IF(Simulador!$C$9="SIM",(D35+Simulador!$C$5)*(1+Simulador!$C$7),D35+Simulador!$C$5+D35*Simulador!$C$7)</f>
        <v>18297.572305356425</v>
      </c>
      <c r="E36" s="12">
        <f>D36*Simulador!$C$7</f>
        <v>146.3805784428514</v>
      </c>
      <c r="F36" s="12">
        <f t="shared" si="0"/>
        <v>2315.9528837992734</v>
      </c>
      <c r="G36" s="1"/>
    </row>
    <row r="37" spans="1:7" ht="18" customHeight="1" x14ac:dyDescent="0.3">
      <c r="A37" s="1"/>
      <c r="B37" s="11">
        <v>33</v>
      </c>
      <c r="C37" s="3">
        <f>Simulador!$C$8+Simulador!$C$5*B37</f>
        <v>16500</v>
      </c>
      <c r="D37" s="3">
        <f>IF(Simulador!$C$9="SIM",(D36+Simulador!$C$5)*(1+Simulador!$C$7),D36+Simulador!$C$5+D36*Simulador!$C$7)</f>
        <v>18947.952883799277</v>
      </c>
      <c r="E37" s="3">
        <f>D37*Simulador!$C$7</f>
        <v>151.58362307039422</v>
      </c>
      <c r="F37" s="3">
        <f t="shared" si="0"/>
        <v>2467.5365068696678</v>
      </c>
      <c r="G37" s="1"/>
    </row>
    <row r="38" spans="1:7" ht="18" customHeight="1" x14ac:dyDescent="0.3">
      <c r="A38" s="1"/>
      <c r="B38" s="8">
        <v>34</v>
      </c>
      <c r="C38" s="12">
        <f>Simulador!$C$8+Simulador!$C$5*B38</f>
        <v>17000</v>
      </c>
      <c r="D38" s="12">
        <f>IF(Simulador!$C$9="SIM",(D37+Simulador!$C$5)*(1+Simulador!$C$7),D37+Simulador!$C$5+D37*Simulador!$C$7)</f>
        <v>19603.53650686967</v>
      </c>
      <c r="E38" s="12">
        <f>D38*Simulador!$C$7</f>
        <v>156.82829205495736</v>
      </c>
      <c r="F38" s="12">
        <f t="shared" si="0"/>
        <v>2624.3647989246251</v>
      </c>
      <c r="G38" s="1"/>
    </row>
    <row r="39" spans="1:7" ht="18" customHeight="1" x14ac:dyDescent="0.3">
      <c r="A39" s="1"/>
      <c r="B39" s="11">
        <v>35</v>
      </c>
      <c r="C39" s="3">
        <f>Simulador!$C$8+Simulador!$C$5*B39</f>
        <v>17500</v>
      </c>
      <c r="D39" s="3">
        <f>IF(Simulador!$C$9="SIM",(D38+Simulador!$C$5)*(1+Simulador!$C$7),D38+Simulador!$C$5+D38*Simulador!$C$7)</f>
        <v>20264.364798924627</v>
      </c>
      <c r="E39" s="3">
        <f>D39*Simulador!$C$7</f>
        <v>162.11491839139703</v>
      </c>
      <c r="F39" s="3">
        <f t="shared" si="0"/>
        <v>2786.4797173160223</v>
      </c>
      <c r="G39" s="1"/>
    </row>
    <row r="40" spans="1:7" ht="18" customHeight="1" x14ac:dyDescent="0.3">
      <c r="A40" s="1"/>
      <c r="B40" s="8">
        <v>36</v>
      </c>
      <c r="C40" s="12">
        <f>Simulador!$C$8+Simulador!$C$5*B40</f>
        <v>18000</v>
      </c>
      <c r="D40" s="9">
        <f>IF(Simulador!$C$9="SIM",(D39+Simulador!$C$5)*(1+Simulador!$C$7),D39+Simulador!$C$5+D39*Simulador!$C$7)</f>
        <v>20930.479717316026</v>
      </c>
      <c r="E40" s="12">
        <f>D40*Simulador!$C$7</f>
        <v>167.4438377385282</v>
      </c>
      <c r="F40" s="12">
        <f t="shared" si="0"/>
        <v>2953.9235550545504</v>
      </c>
      <c r="G40" s="1"/>
    </row>
    <row r="41" spans="1:7" ht="18" customHeight="1" x14ac:dyDescent="0.3">
      <c r="A41" s="1"/>
      <c r="B41" s="11">
        <v>37</v>
      </c>
      <c r="C41" s="3">
        <f>Simulador!$C$8+Simulador!$C$5*B41</f>
        <v>18500</v>
      </c>
      <c r="D41" s="3">
        <f>IF(Simulador!$C$9="SIM",(D40+Simulador!$C$5)*(1+Simulador!$C$7),D40+Simulador!$C$5+D40*Simulador!$C$7)</f>
        <v>21601.923555054553</v>
      </c>
      <c r="E41" s="3">
        <f>D41*Simulador!$C$7</f>
        <v>172.81538844043644</v>
      </c>
      <c r="F41" s="3">
        <f t="shared" si="0"/>
        <v>3126.7389434949869</v>
      </c>
      <c r="G41" s="1"/>
    </row>
    <row r="42" spans="1:7" ht="18" customHeight="1" x14ac:dyDescent="0.3">
      <c r="A42" s="1"/>
      <c r="B42" s="8">
        <v>38</v>
      </c>
      <c r="C42" s="12">
        <f>Simulador!$C$8+Simulador!$C$5*B42</f>
        <v>19000</v>
      </c>
      <c r="D42" s="12">
        <f>IF(Simulador!$C$9="SIM",(D41+Simulador!$C$5)*(1+Simulador!$C$7),D41+Simulador!$C$5+D41*Simulador!$C$7)</f>
        <v>22278.738943494991</v>
      </c>
      <c r="E42" s="12">
        <f>D42*Simulador!$C$7</f>
        <v>178.22991154795994</v>
      </c>
      <c r="F42" s="12">
        <f t="shared" si="0"/>
        <v>3304.9688550429469</v>
      </c>
      <c r="G42" s="1"/>
    </row>
    <row r="43" spans="1:7" ht="18" customHeight="1" x14ac:dyDescent="0.3">
      <c r="A43" s="1"/>
      <c r="B43" s="11">
        <v>39</v>
      </c>
      <c r="C43" s="3">
        <f>Simulador!$C$8+Simulador!$C$5*B43</f>
        <v>19500</v>
      </c>
      <c r="D43" s="3">
        <f>IF(Simulador!$C$9="SIM",(D42+Simulador!$C$5)*(1+Simulador!$C$7),D42+Simulador!$C$5+D42*Simulador!$C$7)</f>
        <v>22960.968855042953</v>
      </c>
      <c r="E43" s="3">
        <f>D43*Simulador!$C$7</f>
        <v>183.68775084034363</v>
      </c>
      <c r="F43" s="3">
        <f t="shared" si="0"/>
        <v>3488.6566058832905</v>
      </c>
      <c r="G43" s="1"/>
    </row>
    <row r="44" spans="1:7" ht="18" customHeight="1" x14ac:dyDescent="0.3">
      <c r="A44" s="1"/>
      <c r="B44" s="8">
        <v>40</v>
      </c>
      <c r="C44" s="12">
        <f>Simulador!$C$8+Simulador!$C$5*B44</f>
        <v>20000</v>
      </c>
      <c r="D44" s="12">
        <f>IF(Simulador!$C$9="SIM",(D43+Simulador!$C$5)*(1+Simulador!$C$7),D43+Simulador!$C$5+D43*Simulador!$C$7)</f>
        <v>23648.656605883298</v>
      </c>
      <c r="E44" s="12">
        <f>D44*Simulador!$C$7</f>
        <v>189.1892528470664</v>
      </c>
      <c r="F44" s="12">
        <f t="shared" si="0"/>
        <v>3677.8458587303567</v>
      </c>
      <c r="G44" s="1"/>
    </row>
    <row r="45" spans="1:7" ht="18" customHeight="1" x14ac:dyDescent="0.3">
      <c r="A45" s="1"/>
      <c r="B45" s="11">
        <v>41</v>
      </c>
      <c r="C45" s="3">
        <f>Simulador!$C$8+Simulador!$C$5*B45</f>
        <v>20500</v>
      </c>
      <c r="D45" s="3">
        <f>IF(Simulador!$C$9="SIM",(D44+Simulador!$C$5)*(1+Simulador!$C$7),D44+Simulador!$C$5+D44*Simulador!$C$7)</f>
        <v>24341.845858730365</v>
      </c>
      <c r="E45" s="3">
        <f>D45*Simulador!$C$7</f>
        <v>194.73476686984293</v>
      </c>
      <c r="F45" s="3">
        <f t="shared" si="0"/>
        <v>3872.5806256001997</v>
      </c>
      <c r="G45" s="1"/>
    </row>
    <row r="46" spans="1:7" ht="18" customHeight="1" x14ac:dyDescent="0.3">
      <c r="A46" s="1"/>
      <c r="B46" s="8">
        <v>42</v>
      </c>
      <c r="C46" s="12">
        <f>Simulador!$C$8+Simulador!$C$5*B46</f>
        <v>21000</v>
      </c>
      <c r="D46" s="12">
        <f>IF(Simulador!$C$9="SIM",(D45+Simulador!$C$5)*(1+Simulador!$C$7),D45+Simulador!$C$5+D45*Simulador!$C$7)</f>
        <v>25040.580625600207</v>
      </c>
      <c r="E46" s="12">
        <f>D46*Simulador!$C$7</f>
        <v>200.32464500480165</v>
      </c>
      <c r="F46" s="12">
        <f t="shared" si="0"/>
        <v>4072.9052706050015</v>
      </c>
      <c r="G46" s="1"/>
    </row>
    <row r="47" spans="1:7" ht="18" customHeight="1" x14ac:dyDescent="0.3">
      <c r="A47" s="1"/>
      <c r="B47" s="11">
        <v>43</v>
      </c>
      <c r="C47" s="3">
        <f>Simulador!$C$8+Simulador!$C$5*B47</f>
        <v>21500</v>
      </c>
      <c r="D47" s="3">
        <f>IF(Simulador!$C$9="SIM",(D46+Simulador!$C$5)*(1+Simulador!$C$7),D46+Simulador!$C$5+D46*Simulador!$C$7)</f>
        <v>25744.90527060501</v>
      </c>
      <c r="E47" s="3">
        <f>D47*Simulador!$C$7</f>
        <v>205.95924216484008</v>
      </c>
      <c r="F47" s="3">
        <f t="shared" si="0"/>
        <v>4278.8645127698419</v>
      </c>
      <c r="G47" s="1"/>
    </row>
    <row r="48" spans="1:7" ht="18" customHeight="1" x14ac:dyDescent="0.3">
      <c r="A48" s="1"/>
      <c r="B48" s="8">
        <v>44</v>
      </c>
      <c r="C48" s="12">
        <f>Simulador!$C$8+Simulador!$C$5*B48</f>
        <v>22000</v>
      </c>
      <c r="D48" s="12">
        <f>IF(Simulador!$C$9="SIM",(D47+Simulador!$C$5)*(1+Simulador!$C$7),D47+Simulador!$C$5+D47*Simulador!$C$7)</f>
        <v>26454.864512769851</v>
      </c>
      <c r="E48" s="12">
        <f>D48*Simulador!$C$7</f>
        <v>211.63891610215882</v>
      </c>
      <c r="F48" s="12">
        <f t="shared" si="0"/>
        <v>4490.5034288720008</v>
      </c>
      <c r="G48" s="1"/>
    </row>
    <row r="49" spans="1:7" ht="18" customHeight="1" x14ac:dyDescent="0.3">
      <c r="A49" s="1"/>
      <c r="B49" s="11">
        <v>45</v>
      </c>
      <c r="C49" s="3">
        <f>Simulador!$C$8+Simulador!$C$5*B49</f>
        <v>22500</v>
      </c>
      <c r="D49" s="3">
        <f>IF(Simulador!$C$9="SIM",(D48+Simulador!$C$5)*(1+Simulador!$C$7),D48+Simulador!$C$5+D48*Simulador!$C$7)</f>
        <v>27170.503428872009</v>
      </c>
      <c r="E49" s="3">
        <f>D49*Simulador!$C$7</f>
        <v>217.36402743097608</v>
      </c>
      <c r="F49" s="3">
        <f t="shared" si="0"/>
        <v>4707.8674563029772</v>
      </c>
      <c r="G49" s="1"/>
    </row>
    <row r="50" spans="1:7" ht="18" customHeight="1" x14ac:dyDescent="0.3">
      <c r="A50" s="1"/>
      <c r="B50" s="8">
        <v>46</v>
      </c>
      <c r="C50" s="12">
        <f>Simulador!$C$8+Simulador!$C$5*B50</f>
        <v>23000</v>
      </c>
      <c r="D50" s="12">
        <f>IF(Simulador!$C$9="SIM",(D49+Simulador!$C$5)*(1+Simulador!$C$7),D49+Simulador!$C$5+D49*Simulador!$C$7)</f>
        <v>27891.867456302985</v>
      </c>
      <c r="E50" s="12">
        <f>D50*Simulador!$C$7</f>
        <v>223.13493965042389</v>
      </c>
      <c r="F50" s="12">
        <f t="shared" si="0"/>
        <v>4931.002395953401</v>
      </c>
      <c r="G50" s="1"/>
    </row>
    <row r="51" spans="1:7" ht="18" customHeight="1" x14ac:dyDescent="0.3">
      <c r="A51" s="1"/>
      <c r="B51" s="11">
        <v>47</v>
      </c>
      <c r="C51" s="3">
        <f>Simulador!$C$8+Simulador!$C$5*B51</f>
        <v>23500</v>
      </c>
      <c r="D51" s="3">
        <f>IF(Simulador!$C$9="SIM",(D50+Simulador!$C$5)*(1+Simulador!$C$7),D50+Simulador!$C$5+D50*Simulador!$C$7)</f>
        <v>28619.002395953408</v>
      </c>
      <c r="E51" s="3">
        <f>D51*Simulador!$C$7</f>
        <v>228.95201916762727</v>
      </c>
      <c r="F51" s="3">
        <f t="shared" si="0"/>
        <v>5159.9544151210284</v>
      </c>
      <c r="G51" s="1"/>
    </row>
    <row r="52" spans="1:7" ht="18" customHeight="1" x14ac:dyDescent="0.3">
      <c r="A52" s="1"/>
      <c r="B52" s="8">
        <v>48</v>
      </c>
      <c r="C52" s="12">
        <f>Simulador!$C$8+Simulador!$C$5*B52</f>
        <v>24000</v>
      </c>
      <c r="D52" s="9">
        <f>IF(Simulador!$C$9="SIM",(D51+Simulador!$C$5)*(1+Simulador!$C$7),D51+Simulador!$C$5+D51*Simulador!$C$7)</f>
        <v>29351.954415121036</v>
      </c>
      <c r="E52" s="12">
        <f>D52*Simulador!$C$7</f>
        <v>234.81563532096828</v>
      </c>
      <c r="F52" s="12">
        <f t="shared" si="0"/>
        <v>5394.7700504419963</v>
      </c>
      <c r="G52" s="1"/>
    </row>
    <row r="53" spans="1:7" ht="18" customHeight="1" x14ac:dyDescent="0.3">
      <c r="A53" s="1"/>
      <c r="B53" s="11">
        <v>49</v>
      </c>
      <c r="C53" s="3">
        <f>Simulador!$C$8+Simulador!$C$5*B53</f>
        <v>24500</v>
      </c>
      <c r="D53" s="3">
        <f>IF(Simulador!$C$9="SIM",(D52+Simulador!$C$5)*(1+Simulador!$C$7),D52+Simulador!$C$5+D52*Simulador!$C$7)</f>
        <v>30090.770050442003</v>
      </c>
      <c r="E53" s="3">
        <f>D53*Simulador!$C$7</f>
        <v>240.72616040353603</v>
      </c>
      <c r="F53" s="3">
        <f t="shared" si="0"/>
        <v>5635.496210845532</v>
      </c>
      <c r="G53" s="1"/>
    </row>
    <row r="54" spans="1:7" ht="18" customHeight="1" x14ac:dyDescent="0.3">
      <c r="A54" s="1"/>
      <c r="B54" s="8">
        <v>50</v>
      </c>
      <c r="C54" s="12">
        <f>Simulador!$C$8+Simulador!$C$5*B54</f>
        <v>25000</v>
      </c>
      <c r="D54" s="12">
        <f>IF(Simulador!$C$9="SIM",(D53+Simulador!$C$5)*(1+Simulador!$C$7),D53+Simulador!$C$5+D53*Simulador!$C$7)</f>
        <v>30835.49621084554</v>
      </c>
      <c r="E54" s="12">
        <f>D54*Simulador!$C$7</f>
        <v>246.68396968676433</v>
      </c>
      <c r="F54" s="12">
        <f t="shared" si="0"/>
        <v>5882.1801805322966</v>
      </c>
      <c r="G54" s="1"/>
    </row>
    <row r="55" spans="1:7" ht="18" customHeight="1" x14ac:dyDescent="0.3">
      <c r="A55" s="1"/>
      <c r="B55" s="11">
        <v>51</v>
      </c>
      <c r="C55" s="3">
        <f>Simulador!$C$8+Simulador!$C$5*B55</f>
        <v>25500</v>
      </c>
      <c r="D55" s="3">
        <f>IF(Simulador!$C$9="SIM",(D54+Simulador!$C$5)*(1+Simulador!$C$7),D54+Simulador!$C$5+D54*Simulador!$C$7)</f>
        <v>31586.180180532305</v>
      </c>
      <c r="E55" s="3">
        <f>D55*Simulador!$C$7</f>
        <v>252.68944144425845</v>
      </c>
      <c r="F55" s="3">
        <f t="shared" si="0"/>
        <v>6134.8696219765552</v>
      </c>
      <c r="G55" s="1"/>
    </row>
    <row r="56" spans="1:7" ht="18" customHeight="1" x14ac:dyDescent="0.3">
      <c r="A56" s="1"/>
      <c r="B56" s="8">
        <v>52</v>
      </c>
      <c r="C56" s="12">
        <f>Simulador!$C$8+Simulador!$C$5*B56</f>
        <v>26000</v>
      </c>
      <c r="D56" s="12">
        <f>IF(Simulador!$C$9="SIM",(D55+Simulador!$C$5)*(1+Simulador!$C$7),D55+Simulador!$C$5+D55*Simulador!$C$7)</f>
        <v>32342.869621976562</v>
      </c>
      <c r="E56" s="12">
        <f>D56*Simulador!$C$7</f>
        <v>258.74295697581249</v>
      </c>
      <c r="F56" s="12">
        <f t="shared" si="0"/>
        <v>6393.6125789523676</v>
      </c>
      <c r="G56" s="1"/>
    </row>
    <row r="57" spans="1:7" ht="18" customHeight="1" x14ac:dyDescent="0.3">
      <c r="A57" s="1"/>
      <c r="B57" s="11">
        <v>53</v>
      </c>
      <c r="C57" s="3">
        <f>Simulador!$C$8+Simulador!$C$5*B57</f>
        <v>26500</v>
      </c>
      <c r="D57" s="3">
        <f>IF(Simulador!$C$9="SIM",(D56+Simulador!$C$5)*(1+Simulador!$C$7),D56+Simulador!$C$5+D56*Simulador!$C$7)</f>
        <v>33105.612578952372</v>
      </c>
      <c r="E57" s="3">
        <f>D57*Simulador!$C$7</f>
        <v>264.844900631619</v>
      </c>
      <c r="F57" s="3">
        <f t="shared" si="0"/>
        <v>6658.4574795839862</v>
      </c>
      <c r="G57" s="1"/>
    </row>
    <row r="58" spans="1:7" ht="18" customHeight="1" x14ac:dyDescent="0.3">
      <c r="A58" s="1"/>
      <c r="B58" s="8">
        <v>54</v>
      </c>
      <c r="C58" s="12">
        <f>Simulador!$C$8+Simulador!$C$5*B58</f>
        <v>27000</v>
      </c>
      <c r="D58" s="12">
        <f>IF(Simulador!$C$9="SIM",(D57+Simulador!$C$5)*(1+Simulador!$C$7),D57+Simulador!$C$5+D57*Simulador!$C$7)</f>
        <v>33874.457479583994</v>
      </c>
      <c r="E58" s="12">
        <f>D58*Simulador!$C$7</f>
        <v>270.99565983667196</v>
      </c>
      <c r="F58" s="12">
        <f t="shared" si="0"/>
        <v>6929.4531394206579</v>
      </c>
      <c r="G58" s="1"/>
    </row>
    <row r="59" spans="1:7" ht="18" customHeight="1" x14ac:dyDescent="0.3">
      <c r="A59" s="1"/>
      <c r="B59" s="11">
        <v>55</v>
      </c>
      <c r="C59" s="3">
        <f>Simulador!$C$8+Simulador!$C$5*B59</f>
        <v>27500</v>
      </c>
      <c r="D59" s="3">
        <f>IF(Simulador!$C$9="SIM",(D58+Simulador!$C$5)*(1+Simulador!$C$7),D58+Simulador!$C$5+D58*Simulador!$C$7)</f>
        <v>34649.453139420664</v>
      </c>
      <c r="E59" s="3">
        <f>D59*Simulador!$C$7</f>
        <v>277.19562511536532</v>
      </c>
      <c r="F59" s="3">
        <f t="shared" si="0"/>
        <v>7206.648764536023</v>
      </c>
      <c r="G59" s="1"/>
    </row>
    <row r="60" spans="1:7" ht="18" customHeight="1" x14ac:dyDescent="0.3">
      <c r="A60" s="1"/>
      <c r="B60" s="8">
        <v>56</v>
      </c>
      <c r="C60" s="12">
        <f>Simulador!$C$8+Simulador!$C$5*B60</f>
        <v>28000</v>
      </c>
      <c r="D60" s="12">
        <f>IF(Simulador!$C$9="SIM",(D59+Simulador!$C$5)*(1+Simulador!$C$7),D59+Simulador!$C$5+D59*Simulador!$C$7)</f>
        <v>35430.648764536032</v>
      </c>
      <c r="E60" s="12">
        <f>D60*Simulador!$C$7</f>
        <v>283.44519011628825</v>
      </c>
      <c r="F60" s="12">
        <f t="shared" si="0"/>
        <v>7490.0939546523114</v>
      </c>
      <c r="G60" s="1"/>
    </row>
    <row r="61" spans="1:7" ht="18" customHeight="1" x14ac:dyDescent="0.3">
      <c r="A61" s="1"/>
      <c r="B61" s="11">
        <v>57</v>
      </c>
      <c r="C61" s="3">
        <f>Simulador!$C$8+Simulador!$C$5*B61</f>
        <v>28500</v>
      </c>
      <c r="D61" s="3">
        <f>IF(Simulador!$C$9="SIM",(D60+Simulador!$C$5)*(1+Simulador!$C$7),D60+Simulador!$C$5+D60*Simulador!$C$7)</f>
        <v>36218.093954652322</v>
      </c>
      <c r="E61" s="3">
        <f>D61*Simulador!$C$7</f>
        <v>289.7447516372186</v>
      </c>
      <c r="F61" s="3">
        <f t="shared" si="0"/>
        <v>7779.8387062895299</v>
      </c>
      <c r="G61" s="1"/>
    </row>
    <row r="62" spans="1:7" ht="18" customHeight="1" x14ac:dyDescent="0.3">
      <c r="A62" s="1"/>
      <c r="B62" s="8">
        <v>58</v>
      </c>
      <c r="C62" s="12">
        <f>Simulador!$C$8+Simulador!$C$5*B62</f>
        <v>29000</v>
      </c>
      <c r="D62" s="12">
        <f>IF(Simulador!$C$9="SIM",(D61+Simulador!$C$5)*(1+Simulador!$C$7),D61+Simulador!$C$5+D61*Simulador!$C$7)</f>
        <v>37011.838706289542</v>
      </c>
      <c r="E62" s="12">
        <f>D62*Simulador!$C$7</f>
        <v>296.09470965031636</v>
      </c>
      <c r="F62" s="12">
        <f t="shared" si="0"/>
        <v>8075.9334159398459</v>
      </c>
      <c r="G62" s="1"/>
    </row>
    <row r="63" spans="1:7" ht="18" customHeight="1" x14ac:dyDescent="0.3">
      <c r="A63" s="1"/>
      <c r="B63" s="11">
        <v>59</v>
      </c>
      <c r="C63" s="3">
        <f>Simulador!$C$8+Simulador!$C$5*B63</f>
        <v>29500</v>
      </c>
      <c r="D63" s="3">
        <f>IF(Simulador!$C$9="SIM",(D62+Simulador!$C$5)*(1+Simulador!$C$7),D62+Simulador!$C$5+D62*Simulador!$C$7)</f>
        <v>37811.933415939857</v>
      </c>
      <c r="E63" s="3">
        <f>D63*Simulador!$C$7</f>
        <v>302.49546732751884</v>
      </c>
      <c r="F63" s="3">
        <f t="shared" si="0"/>
        <v>8378.4288832673647</v>
      </c>
      <c r="G63" s="1"/>
    </row>
    <row r="64" spans="1:7" ht="18" customHeight="1" x14ac:dyDescent="0.3">
      <c r="A64" s="1"/>
      <c r="B64" s="8">
        <v>60</v>
      </c>
      <c r="C64" s="12">
        <f>Simulador!$C$8+Simulador!$C$5*B64</f>
        <v>30000</v>
      </c>
      <c r="D64" s="9">
        <f>IF(Simulador!$C$9="SIM",(D63+Simulador!$C$5)*(1+Simulador!$C$7),D63+Simulador!$C$5+D63*Simulador!$C$7)</f>
        <v>38618.428883267377</v>
      </c>
      <c r="E64" s="12">
        <f>D64*Simulador!$C$7</f>
        <v>308.94743106613902</v>
      </c>
      <c r="F64" s="12">
        <f t="shared" si="0"/>
        <v>8687.3763143335036</v>
      </c>
      <c r="G64" s="1"/>
    </row>
    <row r="65" spans="1:7" ht="18" customHeight="1" x14ac:dyDescent="0.3">
      <c r="A65" s="1"/>
      <c r="B65" s="11">
        <v>61</v>
      </c>
      <c r="C65" s="3">
        <f>Simulador!$C$8+Simulador!$C$5*B65</f>
        <v>30500</v>
      </c>
      <c r="D65" s="3">
        <f>IF(Simulador!$C$9="SIM",(D64+Simulador!$C$5)*(1+Simulador!$C$7),D64+Simulador!$C$5+D64*Simulador!$C$7)</f>
        <v>39431.376314333516</v>
      </c>
      <c r="E65" s="3">
        <f>D65*Simulador!$C$7</f>
        <v>315.45101051466816</v>
      </c>
      <c r="F65" s="3">
        <f t="shared" si="0"/>
        <v>9002.827324848171</v>
      </c>
      <c r="G65" s="1"/>
    </row>
    <row r="66" spans="1:7" ht="18" customHeight="1" x14ac:dyDescent="0.3">
      <c r="A66" s="1"/>
      <c r="B66" s="8">
        <v>62</v>
      </c>
      <c r="C66" s="12">
        <f>Simulador!$C$8+Simulador!$C$5*B66</f>
        <v>31000</v>
      </c>
      <c r="D66" s="12">
        <f>IF(Simulador!$C$9="SIM",(D65+Simulador!$C$5)*(1+Simulador!$C$7),D65+Simulador!$C$5+D65*Simulador!$C$7)</f>
        <v>40250.827324848186</v>
      </c>
      <c r="E66" s="12">
        <f>D66*Simulador!$C$7</f>
        <v>322.00661859878551</v>
      </c>
      <c r="F66" s="12">
        <f t="shared" si="0"/>
        <v>9324.8339434469563</v>
      </c>
      <c r="G66" s="1"/>
    </row>
    <row r="67" spans="1:7" ht="18" customHeight="1" x14ac:dyDescent="0.3">
      <c r="A67" s="1"/>
      <c r="B67" s="11">
        <v>63</v>
      </c>
      <c r="C67" s="3">
        <f>Simulador!$C$8+Simulador!$C$5*B67</f>
        <v>31500</v>
      </c>
      <c r="D67" s="3">
        <f>IF(Simulador!$C$9="SIM",(D66+Simulador!$C$5)*(1+Simulador!$C$7),D66+Simulador!$C$5+D66*Simulador!$C$7)</f>
        <v>41076.833943446974</v>
      </c>
      <c r="E67" s="3">
        <f>D67*Simulador!$C$7</f>
        <v>328.61467154757582</v>
      </c>
      <c r="F67" s="3">
        <f t="shared" si="0"/>
        <v>9653.4486149945315</v>
      </c>
      <c r="G67" s="1"/>
    </row>
    <row r="68" spans="1:7" ht="18" customHeight="1" x14ac:dyDescent="0.3">
      <c r="A68" s="1"/>
      <c r="B68" s="8">
        <v>64</v>
      </c>
      <c r="C68" s="12">
        <f>Simulador!$C$8+Simulador!$C$5*B68</f>
        <v>32000</v>
      </c>
      <c r="D68" s="12">
        <f>IF(Simulador!$C$9="SIM",(D67+Simulador!$C$5)*(1+Simulador!$C$7),D67+Simulador!$C$5+D67*Simulador!$C$7)</f>
        <v>41909.448614994551</v>
      </c>
      <c r="E68" s="12">
        <f>D68*Simulador!$C$7</f>
        <v>335.27558891995642</v>
      </c>
      <c r="F68" s="12">
        <f t="shared" si="0"/>
        <v>9988.7242039144876</v>
      </c>
      <c r="G68" s="1"/>
    </row>
    <row r="69" spans="1:7" ht="18" customHeight="1" x14ac:dyDescent="0.3">
      <c r="A69" s="1"/>
      <c r="B69" s="11">
        <v>65</v>
      </c>
      <c r="C69" s="3">
        <f>Simulador!$C$8+Simulador!$C$5*B69</f>
        <v>32500</v>
      </c>
      <c r="D69" s="3">
        <f>IF(Simulador!$C$9="SIM",(D68+Simulador!$C$5)*(1+Simulador!$C$7),D68+Simulador!$C$5+D68*Simulador!$C$7)</f>
        <v>42748.724203914506</v>
      </c>
      <c r="E69" s="3">
        <f>D69*Simulador!$C$7</f>
        <v>341.98979363131605</v>
      </c>
      <c r="F69" s="3">
        <f t="shared" si="0"/>
        <v>10330.713997545803</v>
      </c>
      <c r="G69" s="1"/>
    </row>
    <row r="70" spans="1:7" ht="18" customHeight="1" x14ac:dyDescent="0.3">
      <c r="A70" s="1"/>
      <c r="B70" s="8">
        <v>66</v>
      </c>
      <c r="C70" s="12">
        <f>Simulador!$C$8+Simulador!$C$5*B70</f>
        <v>33000</v>
      </c>
      <c r="D70" s="12">
        <f>IF(Simulador!$C$9="SIM",(D69+Simulador!$C$5)*(1+Simulador!$C$7),D69+Simulador!$C$5+D69*Simulador!$C$7)</f>
        <v>43594.713997545819</v>
      </c>
      <c r="E70" s="12">
        <f>D70*Simulador!$C$7</f>
        <v>348.75771198036654</v>
      </c>
      <c r="F70" s="12">
        <f t="shared" ref="F70:F133" si="1">F69+E70</f>
        <v>10679.471709526169</v>
      </c>
      <c r="G70" s="1"/>
    </row>
    <row r="71" spans="1:7" ht="18" customHeight="1" x14ac:dyDescent="0.3">
      <c r="A71" s="1"/>
      <c r="B71" s="11">
        <v>67</v>
      </c>
      <c r="C71" s="3">
        <f>Simulador!$C$8+Simulador!$C$5*B71</f>
        <v>33500</v>
      </c>
      <c r="D71" s="3">
        <f>IF(Simulador!$C$9="SIM",(D70+Simulador!$C$5)*(1+Simulador!$C$7),D70+Simulador!$C$5+D70*Simulador!$C$7)</f>
        <v>44447.471709526188</v>
      </c>
      <c r="E71" s="3">
        <f>D71*Simulador!$C$7</f>
        <v>355.57977367620953</v>
      </c>
      <c r="F71" s="3">
        <f t="shared" si="1"/>
        <v>11035.051483202378</v>
      </c>
      <c r="G71" s="1"/>
    </row>
    <row r="72" spans="1:7" ht="18" customHeight="1" x14ac:dyDescent="0.3">
      <c r="A72" s="1"/>
      <c r="B72" s="8">
        <v>68</v>
      </c>
      <c r="C72" s="12">
        <f>Simulador!$C$8+Simulador!$C$5*B72</f>
        <v>34000</v>
      </c>
      <c r="D72" s="12">
        <f>IF(Simulador!$C$9="SIM",(D71+Simulador!$C$5)*(1+Simulador!$C$7),D71+Simulador!$C$5+D71*Simulador!$C$7)</f>
        <v>45307.051483202398</v>
      </c>
      <c r="E72" s="12">
        <f>D72*Simulador!$C$7</f>
        <v>362.4564118656192</v>
      </c>
      <c r="F72" s="12">
        <f t="shared" si="1"/>
        <v>11397.507895067998</v>
      </c>
      <c r="G72" s="1"/>
    </row>
    <row r="73" spans="1:7" ht="18" customHeight="1" x14ac:dyDescent="0.3">
      <c r="A73" s="1"/>
      <c r="B73" s="11">
        <v>69</v>
      </c>
      <c r="C73" s="3">
        <f>Simulador!$C$8+Simulador!$C$5*B73</f>
        <v>34500</v>
      </c>
      <c r="D73" s="3">
        <f>IF(Simulador!$C$9="SIM",(D72+Simulador!$C$5)*(1+Simulador!$C$7),D72+Simulador!$C$5+D72*Simulador!$C$7)</f>
        <v>46173.507895068018</v>
      </c>
      <c r="E73" s="3">
        <f>D73*Simulador!$C$7</f>
        <v>369.38806316054416</v>
      </c>
      <c r="F73" s="3">
        <f t="shared" si="1"/>
        <v>11766.895958228542</v>
      </c>
      <c r="G73" s="1"/>
    </row>
    <row r="74" spans="1:7" ht="18" customHeight="1" x14ac:dyDescent="0.3">
      <c r="A74" s="1"/>
      <c r="B74" s="8">
        <v>70</v>
      </c>
      <c r="C74" s="12">
        <f>Simulador!$C$8+Simulador!$C$5*B74</f>
        <v>35000</v>
      </c>
      <c r="D74" s="12">
        <f>IF(Simulador!$C$9="SIM",(D73+Simulador!$C$5)*(1+Simulador!$C$7),D73+Simulador!$C$5+D73*Simulador!$C$7)</f>
        <v>47046.895958228561</v>
      </c>
      <c r="E74" s="12">
        <f>D74*Simulador!$C$7</f>
        <v>376.37516766582849</v>
      </c>
      <c r="F74" s="12">
        <f t="shared" si="1"/>
        <v>12143.271125894371</v>
      </c>
      <c r="G74" s="1"/>
    </row>
    <row r="75" spans="1:7" ht="18" customHeight="1" x14ac:dyDescent="0.3">
      <c r="A75" s="1"/>
      <c r="B75" s="11">
        <v>71</v>
      </c>
      <c r="C75" s="3">
        <f>Simulador!$C$8+Simulador!$C$5*B75</f>
        <v>35500</v>
      </c>
      <c r="D75" s="3">
        <f>IF(Simulador!$C$9="SIM",(D74+Simulador!$C$5)*(1+Simulador!$C$7),D74+Simulador!$C$5+D74*Simulador!$C$7)</f>
        <v>47927.271125894389</v>
      </c>
      <c r="E75" s="3">
        <f>D75*Simulador!$C$7</f>
        <v>383.41816900715514</v>
      </c>
      <c r="F75" s="3">
        <f t="shared" si="1"/>
        <v>12526.689294901525</v>
      </c>
      <c r="G75" s="1"/>
    </row>
    <row r="76" spans="1:7" ht="18" customHeight="1" x14ac:dyDescent="0.3">
      <c r="A76" s="1"/>
      <c r="B76" s="8">
        <v>72</v>
      </c>
      <c r="C76" s="12">
        <f>Simulador!$C$8+Simulador!$C$5*B76</f>
        <v>36000</v>
      </c>
      <c r="D76" s="9">
        <f>IF(Simulador!$C$9="SIM",(D75+Simulador!$C$5)*(1+Simulador!$C$7),D75+Simulador!$C$5+D75*Simulador!$C$7)</f>
        <v>48814.689294901546</v>
      </c>
      <c r="E76" s="12">
        <f>D76*Simulador!$C$7</f>
        <v>390.51751435921238</v>
      </c>
      <c r="F76" s="12">
        <f t="shared" si="1"/>
        <v>12917.206809260739</v>
      </c>
      <c r="G76" s="1"/>
    </row>
    <row r="77" spans="1:7" ht="18" customHeight="1" x14ac:dyDescent="0.3">
      <c r="A77" s="1"/>
      <c r="B77" s="11">
        <v>73</v>
      </c>
      <c r="C77" s="3">
        <f>Simulador!$C$8+Simulador!$C$5*B77</f>
        <v>36500</v>
      </c>
      <c r="D77" s="3">
        <f>IF(Simulador!$C$9="SIM",(D76+Simulador!$C$5)*(1+Simulador!$C$7),D76+Simulador!$C$5+D76*Simulador!$C$7)</f>
        <v>49709.206809260759</v>
      </c>
      <c r="E77" s="3">
        <f>D77*Simulador!$C$7</f>
        <v>397.67365447408611</v>
      </c>
      <c r="F77" s="3">
        <f t="shared" si="1"/>
        <v>13314.880463734826</v>
      </c>
      <c r="G77" s="1"/>
    </row>
    <row r="78" spans="1:7" ht="18" customHeight="1" x14ac:dyDescent="0.3">
      <c r="A78" s="1"/>
      <c r="B78" s="8">
        <v>74</v>
      </c>
      <c r="C78" s="12">
        <f>Simulador!$C$8+Simulador!$C$5*B78</f>
        <v>37000</v>
      </c>
      <c r="D78" s="12">
        <f>IF(Simulador!$C$9="SIM",(D77+Simulador!$C$5)*(1+Simulador!$C$7),D77+Simulador!$C$5+D77*Simulador!$C$7)</f>
        <v>50610.880463734844</v>
      </c>
      <c r="E78" s="12">
        <f>D78*Simulador!$C$7</f>
        <v>404.88704370987875</v>
      </c>
      <c r="F78" s="12">
        <f t="shared" si="1"/>
        <v>13719.767507444705</v>
      </c>
      <c r="G78" s="1"/>
    </row>
    <row r="79" spans="1:7" ht="18" customHeight="1" x14ac:dyDescent="0.3">
      <c r="A79" s="1"/>
      <c r="B79" s="11">
        <v>75</v>
      </c>
      <c r="C79" s="3">
        <f>Simulador!$C$8+Simulador!$C$5*B79</f>
        <v>37500</v>
      </c>
      <c r="D79" s="3">
        <f>IF(Simulador!$C$9="SIM",(D78+Simulador!$C$5)*(1+Simulador!$C$7),D78+Simulador!$C$5+D78*Simulador!$C$7)</f>
        <v>51519.767507444725</v>
      </c>
      <c r="E79" s="3">
        <f>D79*Simulador!$C$7</f>
        <v>412.15814005955781</v>
      </c>
      <c r="F79" s="3">
        <f t="shared" si="1"/>
        <v>14131.925647504264</v>
      </c>
      <c r="G79" s="1"/>
    </row>
    <row r="80" spans="1:7" ht="18" customHeight="1" x14ac:dyDescent="0.3">
      <c r="A80" s="1"/>
      <c r="B80" s="8">
        <v>76</v>
      </c>
      <c r="C80" s="12">
        <f>Simulador!$C$8+Simulador!$C$5*B80</f>
        <v>38000</v>
      </c>
      <c r="D80" s="12">
        <f>IF(Simulador!$C$9="SIM",(D79+Simulador!$C$5)*(1+Simulador!$C$7),D79+Simulador!$C$5+D79*Simulador!$C$7)</f>
        <v>52435.925647504286</v>
      </c>
      <c r="E80" s="12">
        <f>D80*Simulador!$C$7</f>
        <v>419.48740518003427</v>
      </c>
      <c r="F80" s="12">
        <f t="shared" si="1"/>
        <v>14551.413052684298</v>
      </c>
      <c r="G80" s="1"/>
    </row>
    <row r="81" spans="1:7" ht="18" customHeight="1" x14ac:dyDescent="0.3">
      <c r="A81" s="1"/>
      <c r="B81" s="11">
        <v>77</v>
      </c>
      <c r="C81" s="3">
        <f>Simulador!$C$8+Simulador!$C$5*B81</f>
        <v>38500</v>
      </c>
      <c r="D81" s="3">
        <f>IF(Simulador!$C$9="SIM",(D80+Simulador!$C$5)*(1+Simulador!$C$7),D80+Simulador!$C$5+D80*Simulador!$C$7)</f>
        <v>53359.413052684322</v>
      </c>
      <c r="E81" s="3">
        <f>D81*Simulador!$C$7</f>
        <v>426.8753044214746</v>
      </c>
      <c r="F81" s="3">
        <f t="shared" si="1"/>
        <v>14978.288357105774</v>
      </c>
      <c r="G81" s="1"/>
    </row>
    <row r="82" spans="1:7" ht="18" customHeight="1" x14ac:dyDescent="0.3">
      <c r="A82" s="1"/>
      <c r="B82" s="8">
        <v>78</v>
      </c>
      <c r="C82" s="12">
        <f>Simulador!$C$8+Simulador!$C$5*B82</f>
        <v>39000</v>
      </c>
      <c r="D82" s="12">
        <f>IF(Simulador!$C$9="SIM",(D81+Simulador!$C$5)*(1+Simulador!$C$7),D81+Simulador!$C$5+D81*Simulador!$C$7)</f>
        <v>54290.288357105797</v>
      </c>
      <c r="E82" s="12">
        <f>D82*Simulador!$C$7</f>
        <v>434.32230685684641</v>
      </c>
      <c r="F82" s="12">
        <f t="shared" si="1"/>
        <v>15412.61066396262</v>
      </c>
      <c r="G82" s="1"/>
    </row>
    <row r="83" spans="1:7" ht="18" customHeight="1" x14ac:dyDescent="0.3">
      <c r="A83" s="1"/>
      <c r="B83" s="11">
        <v>79</v>
      </c>
      <c r="C83" s="3">
        <f>Simulador!$C$8+Simulador!$C$5*B83</f>
        <v>39500</v>
      </c>
      <c r="D83" s="3">
        <f>IF(Simulador!$C$9="SIM",(D82+Simulador!$C$5)*(1+Simulador!$C$7),D82+Simulador!$C$5+D82*Simulador!$C$7)</f>
        <v>55228.610663962645</v>
      </c>
      <c r="E83" s="3">
        <f>D83*Simulador!$C$7</f>
        <v>441.82888531170119</v>
      </c>
      <c r="F83" s="3">
        <f t="shared" si="1"/>
        <v>15854.439549274321</v>
      </c>
      <c r="G83" s="1"/>
    </row>
    <row r="84" spans="1:7" ht="18" customHeight="1" x14ac:dyDescent="0.3">
      <c r="A84" s="1"/>
      <c r="B84" s="8">
        <v>80</v>
      </c>
      <c r="C84" s="12">
        <f>Simulador!$C$8+Simulador!$C$5*B84</f>
        <v>40000</v>
      </c>
      <c r="D84" s="12">
        <f>IF(Simulador!$C$9="SIM",(D83+Simulador!$C$5)*(1+Simulador!$C$7),D83+Simulador!$C$5+D83*Simulador!$C$7)</f>
        <v>56174.43954927435</v>
      </c>
      <c r="E84" s="12">
        <f>D84*Simulador!$C$7</f>
        <v>449.39551639419483</v>
      </c>
      <c r="F84" s="12">
        <f t="shared" si="1"/>
        <v>16303.835065668516</v>
      </c>
      <c r="G84" s="1"/>
    </row>
    <row r="85" spans="1:7" ht="18" customHeight="1" x14ac:dyDescent="0.3">
      <c r="A85" s="1"/>
      <c r="B85" s="11">
        <v>81</v>
      </c>
      <c r="C85" s="3">
        <f>Simulador!$C$8+Simulador!$C$5*B85</f>
        <v>40500</v>
      </c>
      <c r="D85" s="3">
        <f>IF(Simulador!$C$9="SIM",(D84+Simulador!$C$5)*(1+Simulador!$C$7),D84+Simulador!$C$5+D84*Simulador!$C$7)</f>
        <v>57127.835065668543</v>
      </c>
      <c r="E85" s="3">
        <f>D85*Simulador!$C$7</f>
        <v>457.02268052534833</v>
      </c>
      <c r="F85" s="3">
        <f t="shared" si="1"/>
        <v>16760.857746193866</v>
      </c>
      <c r="G85" s="1"/>
    </row>
    <row r="86" spans="1:7" ht="18" customHeight="1" x14ac:dyDescent="0.3">
      <c r="A86" s="1"/>
      <c r="B86" s="8">
        <v>82</v>
      </c>
      <c r="C86" s="12">
        <f>Simulador!$C$8+Simulador!$C$5*B86</f>
        <v>41000</v>
      </c>
      <c r="D86" s="12">
        <f>IF(Simulador!$C$9="SIM",(D85+Simulador!$C$5)*(1+Simulador!$C$7),D85+Simulador!$C$5+D85*Simulador!$C$7)</f>
        <v>58088.857746193891</v>
      </c>
      <c r="E86" s="12">
        <f>D86*Simulador!$C$7</f>
        <v>464.71086196955116</v>
      </c>
      <c r="F86" s="12">
        <f t="shared" si="1"/>
        <v>17225.568608163416</v>
      </c>
      <c r="G86" s="1"/>
    </row>
    <row r="87" spans="1:7" ht="18" customHeight="1" x14ac:dyDescent="0.3">
      <c r="A87" s="1"/>
      <c r="B87" s="11">
        <v>83</v>
      </c>
      <c r="C87" s="3">
        <f>Simulador!$C$8+Simulador!$C$5*B87</f>
        <v>41500</v>
      </c>
      <c r="D87" s="3">
        <f>IF(Simulador!$C$9="SIM",(D86+Simulador!$C$5)*(1+Simulador!$C$7),D86+Simulador!$C$5+D86*Simulador!$C$7)</f>
        <v>59057.568608163441</v>
      </c>
      <c r="E87" s="3">
        <f>D87*Simulador!$C$7</f>
        <v>472.46054886530754</v>
      </c>
      <c r="F87" s="3">
        <f t="shared" si="1"/>
        <v>17698.029157028723</v>
      </c>
      <c r="G87" s="1"/>
    </row>
    <row r="88" spans="1:7" ht="18" customHeight="1" x14ac:dyDescent="0.3">
      <c r="A88" s="1"/>
      <c r="B88" s="8">
        <v>84</v>
      </c>
      <c r="C88" s="12">
        <f>Simulador!$C$8+Simulador!$C$5*B88</f>
        <v>42000</v>
      </c>
      <c r="D88" s="9">
        <f>IF(Simulador!$C$9="SIM",(D87+Simulador!$C$5)*(1+Simulador!$C$7),D87+Simulador!$C$5+D87*Simulador!$C$7)</f>
        <v>60034.029157028752</v>
      </c>
      <c r="E88" s="12">
        <f>D88*Simulador!$C$7</f>
        <v>480.27223325623004</v>
      </c>
      <c r="F88" s="12">
        <f t="shared" si="1"/>
        <v>18178.301390284953</v>
      </c>
      <c r="G88" s="1"/>
    </row>
    <row r="89" spans="1:7" ht="18" customHeight="1" x14ac:dyDescent="0.3">
      <c r="A89" s="1"/>
      <c r="B89" s="11">
        <v>85</v>
      </c>
      <c r="C89" s="3">
        <f>Simulador!$C$8+Simulador!$C$5*B89</f>
        <v>42500</v>
      </c>
      <c r="D89" s="3">
        <f>IF(Simulador!$C$9="SIM",(D88+Simulador!$C$5)*(1+Simulador!$C$7),D88+Simulador!$C$5+D88*Simulador!$C$7)</f>
        <v>61018.301390284985</v>
      </c>
      <c r="E89" s="3">
        <f>D89*Simulador!$C$7</f>
        <v>488.14641112227991</v>
      </c>
      <c r="F89" s="3">
        <f t="shared" si="1"/>
        <v>18666.447801407234</v>
      </c>
      <c r="G89" s="1"/>
    </row>
    <row r="90" spans="1:7" ht="18" customHeight="1" x14ac:dyDescent="0.3">
      <c r="A90" s="1"/>
      <c r="B90" s="8">
        <v>86</v>
      </c>
      <c r="C90" s="12">
        <f>Simulador!$C$8+Simulador!$C$5*B90</f>
        <v>43000</v>
      </c>
      <c r="D90" s="12">
        <f>IF(Simulador!$C$9="SIM",(D89+Simulador!$C$5)*(1+Simulador!$C$7),D89+Simulador!$C$5+D89*Simulador!$C$7)</f>
        <v>62010.447801407267</v>
      </c>
      <c r="E90" s="12">
        <f>D90*Simulador!$C$7</f>
        <v>496.08358241125813</v>
      </c>
      <c r="F90" s="12">
        <f t="shared" si="1"/>
        <v>19162.531383818492</v>
      </c>
      <c r="G90" s="1"/>
    </row>
    <row r="91" spans="1:7" ht="18" customHeight="1" x14ac:dyDescent="0.3">
      <c r="A91" s="1"/>
      <c r="B91" s="11">
        <v>87</v>
      </c>
      <c r="C91" s="3">
        <f>Simulador!$C$8+Simulador!$C$5*B91</f>
        <v>43500</v>
      </c>
      <c r="D91" s="3">
        <f>IF(Simulador!$C$9="SIM",(D90+Simulador!$C$5)*(1+Simulador!$C$7),D90+Simulador!$C$5+D90*Simulador!$C$7)</f>
        <v>63010.531383818525</v>
      </c>
      <c r="E91" s="3">
        <f>D91*Simulador!$C$7</f>
        <v>504.08425107054819</v>
      </c>
      <c r="F91" s="3">
        <f t="shared" si="1"/>
        <v>19666.61563488904</v>
      </c>
      <c r="G91" s="1"/>
    </row>
    <row r="92" spans="1:7" ht="18" customHeight="1" x14ac:dyDescent="0.3">
      <c r="A92" s="1"/>
      <c r="B92" s="8">
        <v>88</v>
      </c>
      <c r="C92" s="12">
        <f>Simulador!$C$8+Simulador!$C$5*B92</f>
        <v>44000</v>
      </c>
      <c r="D92" s="12">
        <f>IF(Simulador!$C$9="SIM",(D91+Simulador!$C$5)*(1+Simulador!$C$7),D91+Simulador!$C$5+D91*Simulador!$C$7)</f>
        <v>64018.615634889073</v>
      </c>
      <c r="E92" s="12">
        <f>D92*Simulador!$C$7</f>
        <v>512.14892507911259</v>
      </c>
      <c r="F92" s="12">
        <f t="shared" si="1"/>
        <v>20178.764559968153</v>
      </c>
      <c r="G92" s="1"/>
    </row>
    <row r="93" spans="1:7" ht="18" customHeight="1" x14ac:dyDescent="0.3">
      <c r="A93" s="1"/>
      <c r="B93" s="11">
        <v>89</v>
      </c>
      <c r="C93" s="3">
        <f>Simulador!$C$8+Simulador!$C$5*B93</f>
        <v>44500</v>
      </c>
      <c r="D93" s="3">
        <f>IF(Simulador!$C$9="SIM",(D92+Simulador!$C$5)*(1+Simulador!$C$7),D92+Simulador!$C$5+D92*Simulador!$C$7)</f>
        <v>65034.764559968185</v>
      </c>
      <c r="E93" s="3">
        <f>D93*Simulador!$C$7</f>
        <v>520.27811647974545</v>
      </c>
      <c r="F93" s="3">
        <f t="shared" si="1"/>
        <v>20699.042676447898</v>
      </c>
      <c r="G93" s="1"/>
    </row>
    <row r="94" spans="1:7" ht="18" customHeight="1" x14ac:dyDescent="0.3">
      <c r="A94" s="1"/>
      <c r="B94" s="8">
        <v>90</v>
      </c>
      <c r="C94" s="12">
        <f>Simulador!$C$8+Simulador!$C$5*B94</f>
        <v>45000</v>
      </c>
      <c r="D94" s="12">
        <f>IF(Simulador!$C$9="SIM",(D93+Simulador!$C$5)*(1+Simulador!$C$7),D93+Simulador!$C$5+D93*Simulador!$C$7)</f>
        <v>66059.042676447934</v>
      </c>
      <c r="E94" s="12">
        <f>D94*Simulador!$C$7</f>
        <v>528.47234141158344</v>
      </c>
      <c r="F94" s="12">
        <f t="shared" si="1"/>
        <v>21227.515017859481</v>
      </c>
      <c r="G94" s="1"/>
    </row>
    <row r="95" spans="1:7" ht="18" customHeight="1" x14ac:dyDescent="0.3">
      <c r="A95" s="1"/>
      <c r="B95" s="11">
        <v>91</v>
      </c>
      <c r="C95" s="3">
        <f>Simulador!$C$8+Simulador!$C$5*B95</f>
        <v>45500</v>
      </c>
      <c r="D95" s="3">
        <f>IF(Simulador!$C$9="SIM",(D94+Simulador!$C$5)*(1+Simulador!$C$7),D94+Simulador!$C$5+D94*Simulador!$C$7)</f>
        <v>67091.515017859521</v>
      </c>
      <c r="E95" s="3">
        <f>D95*Simulador!$C$7</f>
        <v>536.73212014287617</v>
      </c>
      <c r="F95" s="3">
        <f t="shared" si="1"/>
        <v>21764.247138002356</v>
      </c>
      <c r="G95" s="1"/>
    </row>
    <row r="96" spans="1:7" ht="18" customHeight="1" x14ac:dyDescent="0.3">
      <c r="A96" s="1"/>
      <c r="B96" s="8">
        <v>92</v>
      </c>
      <c r="C96" s="12">
        <f>Simulador!$C$8+Simulador!$C$5*B96</f>
        <v>46000</v>
      </c>
      <c r="D96" s="12">
        <f>IF(Simulador!$C$9="SIM",(D95+Simulador!$C$5)*(1+Simulador!$C$7),D95+Simulador!$C$5+D95*Simulador!$C$7)</f>
        <v>68132.247138002393</v>
      </c>
      <c r="E96" s="12">
        <f>D96*Simulador!$C$7</f>
        <v>545.05797710401919</v>
      </c>
      <c r="F96" s="12">
        <f t="shared" si="1"/>
        <v>22309.305115106374</v>
      </c>
      <c r="G96" s="1"/>
    </row>
    <row r="97" spans="1:7" ht="18" customHeight="1" x14ac:dyDescent="0.3">
      <c r="A97" s="1"/>
      <c r="B97" s="11">
        <v>93</v>
      </c>
      <c r="C97" s="3">
        <f>Simulador!$C$8+Simulador!$C$5*B97</f>
        <v>46500</v>
      </c>
      <c r="D97" s="3">
        <f>IF(Simulador!$C$9="SIM",(D96+Simulador!$C$5)*(1+Simulador!$C$7),D96+Simulador!$C$5+D96*Simulador!$C$7)</f>
        <v>69181.305115106414</v>
      </c>
      <c r="E97" s="3">
        <f>D97*Simulador!$C$7</f>
        <v>553.45044092085129</v>
      </c>
      <c r="F97" s="3">
        <f t="shared" si="1"/>
        <v>22862.755556027227</v>
      </c>
      <c r="G97" s="1"/>
    </row>
    <row r="98" spans="1:7" ht="18" customHeight="1" x14ac:dyDescent="0.3">
      <c r="A98" s="1"/>
      <c r="B98" s="8">
        <v>94</v>
      </c>
      <c r="C98" s="12">
        <f>Simulador!$C$8+Simulador!$C$5*B98</f>
        <v>47000</v>
      </c>
      <c r="D98" s="12">
        <f>IF(Simulador!$C$9="SIM",(D97+Simulador!$C$5)*(1+Simulador!$C$7),D97+Simulador!$C$5+D97*Simulador!$C$7)</f>
        <v>70238.755556027259</v>
      </c>
      <c r="E98" s="12">
        <f>D98*Simulador!$C$7</f>
        <v>561.91004444821806</v>
      </c>
      <c r="F98" s="12">
        <f t="shared" si="1"/>
        <v>23424.665600475444</v>
      </c>
      <c r="G98" s="1"/>
    </row>
    <row r="99" spans="1:7" ht="18" customHeight="1" x14ac:dyDescent="0.3">
      <c r="A99" s="1"/>
      <c r="B99" s="11">
        <v>95</v>
      </c>
      <c r="C99" s="3">
        <f>Simulador!$C$8+Simulador!$C$5*B99</f>
        <v>47500</v>
      </c>
      <c r="D99" s="3">
        <f>IF(Simulador!$C$9="SIM",(D98+Simulador!$C$5)*(1+Simulador!$C$7),D98+Simulador!$C$5+D98*Simulador!$C$7)</f>
        <v>71304.665600475477</v>
      </c>
      <c r="E99" s="3">
        <f>D99*Simulador!$C$7</f>
        <v>570.43732480380379</v>
      </c>
      <c r="F99" s="3">
        <f t="shared" si="1"/>
        <v>23995.102925279247</v>
      </c>
      <c r="G99" s="1"/>
    </row>
    <row r="100" spans="1:7" ht="18" customHeight="1" x14ac:dyDescent="0.3">
      <c r="A100" s="1"/>
      <c r="B100" s="8">
        <v>96</v>
      </c>
      <c r="C100" s="12">
        <f>Simulador!$C$8+Simulador!$C$5*B100</f>
        <v>48000</v>
      </c>
      <c r="D100" s="9">
        <f>IF(Simulador!$C$9="SIM",(D99+Simulador!$C$5)*(1+Simulador!$C$7),D99+Simulador!$C$5+D99*Simulador!$C$7)</f>
        <v>72379.10292527928</v>
      </c>
      <c r="E100" s="12">
        <f>D100*Simulador!$C$7</f>
        <v>579.03282340223427</v>
      </c>
      <c r="F100" s="12">
        <f t="shared" si="1"/>
        <v>24574.135748681481</v>
      </c>
      <c r="G100" s="1"/>
    </row>
    <row r="101" spans="1:7" ht="18" customHeight="1" x14ac:dyDescent="0.3">
      <c r="A101" s="1"/>
      <c r="B101" s="11">
        <v>97</v>
      </c>
      <c r="C101" s="3">
        <f>Simulador!$C$8+Simulador!$C$5*B101</f>
        <v>48500</v>
      </c>
      <c r="D101" s="3">
        <f>IF(Simulador!$C$9="SIM",(D100+Simulador!$C$5)*(1+Simulador!$C$7),D100+Simulador!$C$5+D100*Simulador!$C$7)</f>
        <v>73462.13574868151</v>
      </c>
      <c r="E101" s="3">
        <f>D101*Simulador!$C$7</f>
        <v>587.69708598945215</v>
      </c>
      <c r="F101" s="3">
        <f t="shared" si="1"/>
        <v>25161.832834670935</v>
      </c>
      <c r="G101" s="1"/>
    </row>
    <row r="102" spans="1:7" ht="18" customHeight="1" x14ac:dyDescent="0.3">
      <c r="A102" s="1"/>
      <c r="B102" s="8">
        <v>98</v>
      </c>
      <c r="C102" s="12">
        <f>Simulador!$C$8+Simulador!$C$5*B102</f>
        <v>49000</v>
      </c>
      <c r="D102" s="12">
        <f>IF(Simulador!$C$9="SIM",(D101+Simulador!$C$5)*(1+Simulador!$C$7),D101+Simulador!$C$5+D101*Simulador!$C$7)</f>
        <v>74553.83283467096</v>
      </c>
      <c r="E102" s="12">
        <f>D102*Simulador!$C$7</f>
        <v>596.43066267736765</v>
      </c>
      <c r="F102" s="12">
        <f t="shared" si="1"/>
        <v>25758.263497348304</v>
      </c>
      <c r="G102" s="1"/>
    </row>
    <row r="103" spans="1:7" ht="18" customHeight="1" x14ac:dyDescent="0.3">
      <c r="A103" s="1"/>
      <c r="B103" s="11">
        <v>99</v>
      </c>
      <c r="C103" s="3">
        <f>Simulador!$C$8+Simulador!$C$5*B103</f>
        <v>49500</v>
      </c>
      <c r="D103" s="3">
        <f>IF(Simulador!$C$9="SIM",(D102+Simulador!$C$5)*(1+Simulador!$C$7),D102+Simulador!$C$5+D102*Simulador!$C$7)</f>
        <v>75654.263497348322</v>
      </c>
      <c r="E103" s="3">
        <f>D103*Simulador!$C$7</f>
        <v>605.2341079787866</v>
      </c>
      <c r="F103" s="3">
        <f t="shared" si="1"/>
        <v>26363.497605327091</v>
      </c>
      <c r="G103" s="1"/>
    </row>
    <row r="104" spans="1:7" ht="18" customHeight="1" x14ac:dyDescent="0.3">
      <c r="A104" s="1"/>
      <c r="B104" s="8">
        <v>100</v>
      </c>
      <c r="C104" s="12">
        <f>Simulador!$C$8+Simulador!$C$5*B104</f>
        <v>50000</v>
      </c>
      <c r="D104" s="12">
        <f>IF(Simulador!$C$9="SIM",(D103+Simulador!$C$5)*(1+Simulador!$C$7),D103+Simulador!$C$5+D103*Simulador!$C$7)</f>
        <v>76763.497605327109</v>
      </c>
      <c r="E104" s="12">
        <f>D104*Simulador!$C$7</f>
        <v>614.10798084261694</v>
      </c>
      <c r="F104" s="12">
        <f t="shared" si="1"/>
        <v>26977.60558616971</v>
      </c>
      <c r="G104" s="1"/>
    </row>
    <row r="105" spans="1:7" ht="18" customHeight="1" x14ac:dyDescent="0.3">
      <c r="A105" s="1"/>
      <c r="B105" s="11">
        <v>101</v>
      </c>
      <c r="C105" s="3">
        <f>Simulador!$C$8+Simulador!$C$5*B105</f>
        <v>50500</v>
      </c>
      <c r="D105" s="3">
        <f>IF(Simulador!$C$9="SIM",(D104+Simulador!$C$5)*(1+Simulador!$C$7),D104+Simulador!$C$5+D104*Simulador!$C$7)</f>
        <v>77881.605586169724</v>
      </c>
      <c r="E105" s="3">
        <f>D105*Simulador!$C$7</f>
        <v>623.05284468935781</v>
      </c>
      <c r="F105" s="3">
        <f t="shared" si="1"/>
        <v>27600.658430859068</v>
      </c>
      <c r="G105" s="1"/>
    </row>
    <row r="106" spans="1:7" ht="18" customHeight="1" x14ac:dyDescent="0.3">
      <c r="A106" s="1"/>
      <c r="B106" s="8">
        <v>102</v>
      </c>
      <c r="C106" s="12">
        <f>Simulador!$C$8+Simulador!$C$5*B106</f>
        <v>51000</v>
      </c>
      <c r="D106" s="12">
        <f>IF(Simulador!$C$9="SIM",(D105+Simulador!$C$5)*(1+Simulador!$C$7),D105+Simulador!$C$5+D105*Simulador!$C$7)</f>
        <v>79008.658430859083</v>
      </c>
      <c r="E106" s="12">
        <f>D106*Simulador!$C$7</f>
        <v>632.06926744687269</v>
      </c>
      <c r="F106" s="12">
        <f t="shared" si="1"/>
        <v>28232.727698305942</v>
      </c>
      <c r="G106" s="1"/>
    </row>
    <row r="107" spans="1:7" ht="18" customHeight="1" x14ac:dyDescent="0.3">
      <c r="A107" s="1"/>
      <c r="B107" s="11">
        <v>103</v>
      </c>
      <c r="C107" s="3">
        <f>Simulador!$C$8+Simulador!$C$5*B107</f>
        <v>51500</v>
      </c>
      <c r="D107" s="3">
        <f>IF(Simulador!$C$9="SIM",(D106+Simulador!$C$5)*(1+Simulador!$C$7),D106+Simulador!$C$5+D106*Simulador!$C$7)</f>
        <v>80144.727698305956</v>
      </c>
      <c r="E107" s="3">
        <f>D107*Simulador!$C$7</f>
        <v>641.15782158644765</v>
      </c>
      <c r="F107" s="3">
        <f t="shared" si="1"/>
        <v>28873.885519892388</v>
      </c>
      <c r="G107" s="1"/>
    </row>
    <row r="108" spans="1:7" ht="18" customHeight="1" x14ac:dyDescent="0.3">
      <c r="A108" s="1"/>
      <c r="B108" s="8">
        <v>104</v>
      </c>
      <c r="C108" s="12">
        <f>Simulador!$C$8+Simulador!$C$5*B108</f>
        <v>52000</v>
      </c>
      <c r="D108" s="12">
        <f>IF(Simulador!$C$9="SIM",(D107+Simulador!$C$5)*(1+Simulador!$C$7),D107+Simulador!$C$5+D107*Simulador!$C$7)</f>
        <v>81289.885519892399</v>
      </c>
      <c r="E108" s="12">
        <f>D108*Simulador!$C$7</f>
        <v>650.31908415913915</v>
      </c>
      <c r="F108" s="12">
        <f t="shared" si="1"/>
        <v>29524.204604051527</v>
      </c>
      <c r="G108" s="1"/>
    </row>
    <row r="109" spans="1:7" ht="18" customHeight="1" x14ac:dyDescent="0.3">
      <c r="A109" s="1"/>
      <c r="B109" s="11">
        <v>105</v>
      </c>
      <c r="C109" s="3">
        <f>Simulador!$C$8+Simulador!$C$5*B109</f>
        <v>52500</v>
      </c>
      <c r="D109" s="3">
        <f>IF(Simulador!$C$9="SIM",(D108+Simulador!$C$5)*(1+Simulador!$C$7),D108+Simulador!$C$5+D108*Simulador!$C$7)</f>
        <v>82444.204604051542</v>
      </c>
      <c r="E109" s="3">
        <f>D109*Simulador!$C$7</f>
        <v>659.55363683241239</v>
      </c>
      <c r="F109" s="3">
        <f t="shared" si="1"/>
        <v>30183.758240883941</v>
      </c>
      <c r="G109" s="1"/>
    </row>
    <row r="110" spans="1:7" ht="18" customHeight="1" x14ac:dyDescent="0.3">
      <c r="A110" s="1"/>
      <c r="B110" s="8">
        <v>106</v>
      </c>
      <c r="C110" s="12">
        <f>Simulador!$C$8+Simulador!$C$5*B110</f>
        <v>53000</v>
      </c>
      <c r="D110" s="12">
        <f>IF(Simulador!$C$9="SIM",(D109+Simulador!$C$5)*(1+Simulador!$C$7),D109+Simulador!$C$5+D109*Simulador!$C$7)</f>
        <v>83607.758240883952</v>
      </c>
      <c r="E110" s="12">
        <f>D110*Simulador!$C$7</f>
        <v>668.86206592707163</v>
      </c>
      <c r="F110" s="12">
        <f t="shared" si="1"/>
        <v>30852.620306811012</v>
      </c>
      <c r="G110" s="1"/>
    </row>
    <row r="111" spans="1:7" ht="18" customHeight="1" x14ac:dyDescent="0.3">
      <c r="A111" s="1"/>
      <c r="B111" s="11">
        <v>107</v>
      </c>
      <c r="C111" s="3">
        <f>Simulador!$C$8+Simulador!$C$5*B111</f>
        <v>53500</v>
      </c>
      <c r="D111" s="3">
        <f>IF(Simulador!$C$9="SIM",(D110+Simulador!$C$5)*(1+Simulador!$C$7),D110+Simulador!$C$5+D110*Simulador!$C$7)</f>
        <v>84780.620306811019</v>
      </c>
      <c r="E111" s="3">
        <f>D111*Simulador!$C$7</f>
        <v>678.24496245448813</v>
      </c>
      <c r="F111" s="3">
        <f t="shared" si="1"/>
        <v>31530.865269265501</v>
      </c>
      <c r="G111" s="1"/>
    </row>
    <row r="112" spans="1:7" ht="18" customHeight="1" x14ac:dyDescent="0.3">
      <c r="A112" s="1"/>
      <c r="B112" s="8">
        <v>108</v>
      </c>
      <c r="C112" s="12">
        <f>Simulador!$C$8+Simulador!$C$5*B112</f>
        <v>54000</v>
      </c>
      <c r="D112" s="9">
        <f>IF(Simulador!$C$9="SIM",(D111+Simulador!$C$5)*(1+Simulador!$C$7),D111+Simulador!$C$5+D111*Simulador!$C$7)</f>
        <v>85962.865269265501</v>
      </c>
      <c r="E112" s="12">
        <f>D112*Simulador!$C$7</f>
        <v>687.70292215412405</v>
      </c>
      <c r="F112" s="12">
        <f t="shared" si="1"/>
        <v>32218.568191419625</v>
      </c>
      <c r="G112" s="1"/>
    </row>
    <row r="113" spans="1:7" ht="18" customHeight="1" x14ac:dyDescent="0.3">
      <c r="A113" s="1"/>
      <c r="B113" s="11">
        <v>109</v>
      </c>
      <c r="C113" s="3">
        <f>Simulador!$C$8+Simulador!$C$5*B113</f>
        <v>54500</v>
      </c>
      <c r="D113" s="3">
        <f>IF(Simulador!$C$9="SIM",(D112+Simulador!$C$5)*(1+Simulador!$C$7),D112+Simulador!$C$5+D112*Simulador!$C$7)</f>
        <v>87154.568191419632</v>
      </c>
      <c r="E113" s="3">
        <f>D113*Simulador!$C$7</f>
        <v>697.23654553135702</v>
      </c>
      <c r="F113" s="3">
        <f t="shared" si="1"/>
        <v>32915.80473695098</v>
      </c>
      <c r="G113" s="1"/>
    </row>
    <row r="114" spans="1:7" ht="18" customHeight="1" x14ac:dyDescent="0.3">
      <c r="A114" s="1"/>
      <c r="B114" s="8">
        <v>110</v>
      </c>
      <c r="C114" s="12">
        <f>Simulador!$C$8+Simulador!$C$5*B114</f>
        <v>55000</v>
      </c>
      <c r="D114" s="12">
        <f>IF(Simulador!$C$9="SIM",(D113+Simulador!$C$5)*(1+Simulador!$C$7),D113+Simulador!$C$5+D113*Simulador!$C$7)</f>
        <v>88355.804736950988</v>
      </c>
      <c r="E114" s="12">
        <f>D114*Simulador!$C$7</f>
        <v>706.84643789560789</v>
      </c>
      <c r="F114" s="12">
        <f t="shared" si="1"/>
        <v>33622.651174846585</v>
      </c>
      <c r="G114" s="1"/>
    </row>
    <row r="115" spans="1:7" ht="18" customHeight="1" x14ac:dyDescent="0.3">
      <c r="A115" s="1"/>
      <c r="B115" s="11">
        <v>111</v>
      </c>
      <c r="C115" s="3">
        <f>Simulador!$C$8+Simulador!$C$5*B115</f>
        <v>55500</v>
      </c>
      <c r="D115" s="3">
        <f>IF(Simulador!$C$9="SIM",(D114+Simulador!$C$5)*(1+Simulador!$C$7),D114+Simulador!$C$5+D114*Simulador!$C$7)</f>
        <v>89566.6511748466</v>
      </c>
      <c r="E115" s="3">
        <f>D115*Simulador!$C$7</f>
        <v>716.53320939877278</v>
      </c>
      <c r="F115" s="3">
        <f t="shared" si="1"/>
        <v>34339.18438424536</v>
      </c>
      <c r="G115" s="1"/>
    </row>
    <row r="116" spans="1:7" ht="18" customHeight="1" x14ac:dyDescent="0.3">
      <c r="A116" s="1"/>
      <c r="B116" s="8">
        <v>112</v>
      </c>
      <c r="C116" s="12">
        <f>Simulador!$C$8+Simulador!$C$5*B116</f>
        <v>56000</v>
      </c>
      <c r="D116" s="12">
        <f>IF(Simulador!$C$9="SIM",(D115+Simulador!$C$5)*(1+Simulador!$C$7),D115+Simulador!$C$5+D115*Simulador!$C$7)</f>
        <v>90787.184384245367</v>
      </c>
      <c r="E116" s="12">
        <f>D116*Simulador!$C$7</f>
        <v>726.29747507396291</v>
      </c>
      <c r="F116" s="12">
        <f t="shared" si="1"/>
        <v>35065.481859319319</v>
      </c>
      <c r="G116" s="1"/>
    </row>
    <row r="117" spans="1:7" ht="18" customHeight="1" x14ac:dyDescent="0.3">
      <c r="A117" s="1"/>
      <c r="B117" s="11">
        <v>113</v>
      </c>
      <c r="C117" s="3">
        <f>Simulador!$C$8+Simulador!$C$5*B117</f>
        <v>56500</v>
      </c>
      <c r="D117" s="3">
        <f>IF(Simulador!$C$9="SIM",(D116+Simulador!$C$5)*(1+Simulador!$C$7),D116+Simulador!$C$5+D116*Simulador!$C$7)</f>
        <v>92017.481859319334</v>
      </c>
      <c r="E117" s="3">
        <f>D117*Simulador!$C$7</f>
        <v>736.13985487455466</v>
      </c>
      <c r="F117" s="3">
        <f t="shared" si="1"/>
        <v>35801.621714193876</v>
      </c>
      <c r="G117" s="1"/>
    </row>
    <row r="118" spans="1:7" ht="18" customHeight="1" x14ac:dyDescent="0.3">
      <c r="A118" s="1"/>
      <c r="B118" s="8">
        <v>114</v>
      </c>
      <c r="C118" s="12">
        <f>Simulador!$C$8+Simulador!$C$5*B118</f>
        <v>57000</v>
      </c>
      <c r="D118" s="12">
        <f>IF(Simulador!$C$9="SIM",(D117+Simulador!$C$5)*(1+Simulador!$C$7),D117+Simulador!$C$5+D117*Simulador!$C$7)</f>
        <v>93257.621714193883</v>
      </c>
      <c r="E118" s="12">
        <f>D118*Simulador!$C$7</f>
        <v>746.06097371355111</v>
      </c>
      <c r="F118" s="12">
        <f t="shared" si="1"/>
        <v>36547.682687907429</v>
      </c>
      <c r="G118" s="1"/>
    </row>
    <row r="119" spans="1:7" ht="18" customHeight="1" x14ac:dyDescent="0.3">
      <c r="A119" s="1"/>
      <c r="B119" s="11">
        <v>115</v>
      </c>
      <c r="C119" s="3">
        <f>Simulador!$C$8+Simulador!$C$5*B119</f>
        <v>57500</v>
      </c>
      <c r="D119" s="3">
        <f>IF(Simulador!$C$9="SIM",(D118+Simulador!$C$5)*(1+Simulador!$C$7),D118+Simulador!$C$5+D118*Simulador!$C$7)</f>
        <v>94507.682687907436</v>
      </c>
      <c r="E119" s="3">
        <f>D119*Simulador!$C$7</f>
        <v>756.06146150325947</v>
      </c>
      <c r="F119" s="3">
        <f t="shared" si="1"/>
        <v>37303.74414941069</v>
      </c>
      <c r="G119" s="1"/>
    </row>
    <row r="120" spans="1:7" ht="18" customHeight="1" x14ac:dyDescent="0.3">
      <c r="A120" s="1"/>
      <c r="B120" s="8">
        <v>116</v>
      </c>
      <c r="C120" s="12">
        <f>Simulador!$C$8+Simulador!$C$5*B120</f>
        <v>58000</v>
      </c>
      <c r="D120" s="12">
        <f>IF(Simulador!$C$9="SIM",(D119+Simulador!$C$5)*(1+Simulador!$C$7),D119+Simulador!$C$5+D119*Simulador!$C$7)</f>
        <v>95767.74414941069</v>
      </c>
      <c r="E120" s="12">
        <f>D120*Simulador!$C$7</f>
        <v>766.14195319528551</v>
      </c>
      <c r="F120" s="12">
        <f t="shared" si="1"/>
        <v>38069.886102605975</v>
      </c>
      <c r="G120" s="1"/>
    </row>
    <row r="121" spans="1:7" ht="18" customHeight="1" x14ac:dyDescent="0.3">
      <c r="A121" s="1"/>
      <c r="B121" s="11">
        <v>117</v>
      </c>
      <c r="C121" s="3">
        <f>Simulador!$C$8+Simulador!$C$5*B121</f>
        <v>58500</v>
      </c>
      <c r="D121" s="3">
        <f>IF(Simulador!$C$9="SIM",(D120+Simulador!$C$5)*(1+Simulador!$C$7),D120+Simulador!$C$5+D120*Simulador!$C$7)</f>
        <v>97037.886102605975</v>
      </c>
      <c r="E121" s="3">
        <f>D121*Simulador!$C$7</f>
        <v>776.30308882084785</v>
      </c>
      <c r="F121" s="3">
        <f t="shared" si="1"/>
        <v>38846.18919142682</v>
      </c>
      <c r="G121" s="1"/>
    </row>
    <row r="122" spans="1:7" ht="18" customHeight="1" x14ac:dyDescent="0.3">
      <c r="A122" s="1"/>
      <c r="B122" s="8">
        <v>118</v>
      </c>
      <c r="C122" s="12">
        <f>Simulador!$C$8+Simulador!$C$5*B122</f>
        <v>59000</v>
      </c>
      <c r="D122" s="12">
        <f>IF(Simulador!$C$9="SIM",(D121+Simulador!$C$5)*(1+Simulador!$C$7),D121+Simulador!$C$5+D121*Simulador!$C$7)</f>
        <v>98318.18919142682</v>
      </c>
      <c r="E122" s="12">
        <f>D122*Simulador!$C$7</f>
        <v>786.5455135314146</v>
      </c>
      <c r="F122" s="12">
        <f t="shared" si="1"/>
        <v>39632.734704958231</v>
      </c>
      <c r="G122" s="1"/>
    </row>
    <row r="123" spans="1:7" ht="18" customHeight="1" x14ac:dyDescent="0.3">
      <c r="A123" s="1"/>
      <c r="B123" s="11">
        <v>119</v>
      </c>
      <c r="C123" s="3">
        <f>Simulador!$C$8+Simulador!$C$5*B123</f>
        <v>59500</v>
      </c>
      <c r="D123" s="3">
        <f>IF(Simulador!$C$9="SIM",(D122+Simulador!$C$5)*(1+Simulador!$C$7),D122+Simulador!$C$5+D122*Simulador!$C$7)</f>
        <v>99608.734704958231</v>
      </c>
      <c r="E123" s="3">
        <f>D123*Simulador!$C$7</f>
        <v>796.8698776396659</v>
      </c>
      <c r="F123" s="3">
        <f t="shared" si="1"/>
        <v>40429.604582597894</v>
      </c>
      <c r="G123" s="1"/>
    </row>
    <row r="124" spans="1:7" ht="18" customHeight="1" x14ac:dyDescent="0.3">
      <c r="A124" s="1"/>
      <c r="B124" s="8">
        <v>120</v>
      </c>
      <c r="C124" s="12">
        <f>Simulador!$C$8+Simulador!$C$5*B124</f>
        <v>60000</v>
      </c>
      <c r="D124" s="9">
        <f>IF(Simulador!$C$9="SIM",(D123+Simulador!$C$5)*(1+Simulador!$C$7),D123+Simulador!$C$5+D123*Simulador!$C$7)</f>
        <v>100909.60458259789</v>
      </c>
      <c r="E124" s="12">
        <f>D124*Simulador!$C$7</f>
        <v>807.27683666078315</v>
      </c>
      <c r="F124" s="12">
        <f t="shared" si="1"/>
        <v>41236.88141925868</v>
      </c>
      <c r="G124" s="1"/>
    </row>
    <row r="125" spans="1:7" ht="18" customHeight="1" x14ac:dyDescent="0.3">
      <c r="A125" s="1"/>
      <c r="B125" s="11">
        <v>121</v>
      </c>
      <c r="C125" s="3">
        <f>Simulador!$C$8+Simulador!$C$5*B125</f>
        <v>60500</v>
      </c>
      <c r="D125" s="3">
        <f>IF(Simulador!$C$9="SIM",(D124+Simulador!$C$5)*(1+Simulador!$C$7),D124+Simulador!$C$5+D124*Simulador!$C$7)</f>
        <v>102220.88141925867</v>
      </c>
      <c r="E125" s="3">
        <f>D125*Simulador!$C$7</f>
        <v>817.76705135406939</v>
      </c>
      <c r="F125" s="3">
        <f t="shared" si="1"/>
        <v>42054.648470612752</v>
      </c>
      <c r="G125" s="1"/>
    </row>
    <row r="126" spans="1:7" ht="18" customHeight="1" x14ac:dyDescent="0.3">
      <c r="A126" s="1"/>
      <c r="B126" s="8">
        <v>122</v>
      </c>
      <c r="C126" s="12">
        <f>Simulador!$C$8+Simulador!$C$5*B126</f>
        <v>61000</v>
      </c>
      <c r="D126" s="12">
        <f>IF(Simulador!$C$9="SIM",(D125+Simulador!$C$5)*(1+Simulador!$C$7),D125+Simulador!$C$5+D125*Simulador!$C$7)</f>
        <v>103542.64847061274</v>
      </c>
      <c r="E126" s="12">
        <f>D126*Simulador!$C$7</f>
        <v>828.34118776490197</v>
      </c>
      <c r="F126" s="12">
        <f t="shared" si="1"/>
        <v>42882.989658377657</v>
      </c>
      <c r="G126" s="1"/>
    </row>
    <row r="127" spans="1:7" ht="18" customHeight="1" x14ac:dyDescent="0.3">
      <c r="A127" s="1"/>
      <c r="B127" s="11">
        <v>123</v>
      </c>
      <c r="C127" s="3">
        <f>Simulador!$C$8+Simulador!$C$5*B127</f>
        <v>61500</v>
      </c>
      <c r="D127" s="3">
        <f>IF(Simulador!$C$9="SIM",(D126+Simulador!$C$5)*(1+Simulador!$C$7),D126+Simulador!$C$5+D126*Simulador!$C$7)</f>
        <v>104874.98965837764</v>
      </c>
      <c r="E127" s="3">
        <f>D127*Simulador!$C$7</f>
        <v>838.99991726702115</v>
      </c>
      <c r="F127" s="3">
        <f t="shared" si="1"/>
        <v>43721.989575644679</v>
      </c>
      <c r="G127" s="1"/>
    </row>
    <row r="128" spans="1:7" ht="18" customHeight="1" x14ac:dyDescent="0.3">
      <c r="A128" s="1"/>
      <c r="B128" s="8">
        <v>124</v>
      </c>
      <c r="C128" s="12">
        <f>Simulador!$C$8+Simulador!$C$5*B128</f>
        <v>62000</v>
      </c>
      <c r="D128" s="12">
        <f>IF(Simulador!$C$9="SIM",(D127+Simulador!$C$5)*(1+Simulador!$C$7),D127+Simulador!$C$5+D127*Simulador!$C$7)</f>
        <v>106217.98957564466</v>
      </c>
      <c r="E128" s="12">
        <f>D128*Simulador!$C$7</f>
        <v>849.74391660515732</v>
      </c>
      <c r="F128" s="12">
        <f t="shared" si="1"/>
        <v>44571.733492249834</v>
      </c>
      <c r="G128" s="1"/>
    </row>
    <row r="129" spans="1:7" ht="18" customHeight="1" x14ac:dyDescent="0.3">
      <c r="A129" s="1"/>
      <c r="B129" s="11">
        <v>125</v>
      </c>
      <c r="C129" s="3">
        <f>Simulador!$C$8+Simulador!$C$5*B129</f>
        <v>62500</v>
      </c>
      <c r="D129" s="3">
        <f>IF(Simulador!$C$9="SIM",(D128+Simulador!$C$5)*(1+Simulador!$C$7),D128+Simulador!$C$5+D128*Simulador!$C$7)</f>
        <v>107571.73349224983</v>
      </c>
      <c r="E129" s="3">
        <f>D129*Simulador!$C$7</f>
        <v>860.57386793799867</v>
      </c>
      <c r="F129" s="3">
        <f t="shared" si="1"/>
        <v>45432.307360187835</v>
      </c>
      <c r="G129" s="1"/>
    </row>
    <row r="130" spans="1:7" ht="18" customHeight="1" x14ac:dyDescent="0.3">
      <c r="A130" s="1"/>
      <c r="B130" s="8">
        <v>126</v>
      </c>
      <c r="C130" s="12">
        <f>Simulador!$C$8+Simulador!$C$5*B130</f>
        <v>63000</v>
      </c>
      <c r="D130" s="12">
        <f>IF(Simulador!$C$9="SIM",(D129+Simulador!$C$5)*(1+Simulador!$C$7),D129+Simulador!$C$5+D129*Simulador!$C$7)</f>
        <v>108936.30736018783</v>
      </c>
      <c r="E130" s="12">
        <f>D130*Simulador!$C$7</f>
        <v>871.4904588815026</v>
      </c>
      <c r="F130" s="12">
        <f t="shared" si="1"/>
        <v>46303.797819069339</v>
      </c>
      <c r="G130" s="1"/>
    </row>
    <row r="131" spans="1:7" ht="18" customHeight="1" x14ac:dyDescent="0.3">
      <c r="A131" s="1"/>
      <c r="B131" s="11">
        <v>127</v>
      </c>
      <c r="C131" s="3">
        <f>Simulador!$C$8+Simulador!$C$5*B131</f>
        <v>63500</v>
      </c>
      <c r="D131" s="3">
        <f>IF(Simulador!$C$9="SIM",(D130+Simulador!$C$5)*(1+Simulador!$C$7),D130+Simulador!$C$5+D130*Simulador!$C$7)</f>
        <v>110311.79781906932</v>
      </c>
      <c r="E131" s="3">
        <f>D131*Simulador!$C$7</f>
        <v>882.49438255255461</v>
      </c>
      <c r="F131" s="3">
        <f t="shared" si="1"/>
        <v>47186.292201621894</v>
      </c>
      <c r="G131" s="1"/>
    </row>
    <row r="132" spans="1:7" ht="18" customHeight="1" x14ac:dyDescent="0.3">
      <c r="A132" s="1"/>
      <c r="B132" s="8">
        <v>128</v>
      </c>
      <c r="C132" s="12">
        <f>Simulador!$C$8+Simulador!$C$5*B132</f>
        <v>64000</v>
      </c>
      <c r="D132" s="12">
        <f>IF(Simulador!$C$9="SIM",(D131+Simulador!$C$5)*(1+Simulador!$C$7),D131+Simulador!$C$5+D131*Simulador!$C$7)</f>
        <v>111698.29220162188</v>
      </c>
      <c r="E132" s="12">
        <f>D132*Simulador!$C$7</f>
        <v>893.58633761297506</v>
      </c>
      <c r="F132" s="12">
        <f t="shared" si="1"/>
        <v>48079.878539234873</v>
      </c>
      <c r="G132" s="1"/>
    </row>
    <row r="133" spans="1:7" ht="18" customHeight="1" x14ac:dyDescent="0.3">
      <c r="A133" s="1"/>
      <c r="B133" s="11">
        <v>129</v>
      </c>
      <c r="C133" s="3">
        <f>Simulador!$C$8+Simulador!$C$5*B133</f>
        <v>64500</v>
      </c>
      <c r="D133" s="3">
        <f>IF(Simulador!$C$9="SIM",(D132+Simulador!$C$5)*(1+Simulador!$C$7),D132+Simulador!$C$5+D132*Simulador!$C$7)</f>
        <v>113095.87853923485</v>
      </c>
      <c r="E133" s="3">
        <f>D133*Simulador!$C$7</f>
        <v>904.76702831387888</v>
      </c>
      <c r="F133" s="3">
        <f t="shared" si="1"/>
        <v>48984.645567548752</v>
      </c>
      <c r="G133" s="1"/>
    </row>
    <row r="134" spans="1:7" ht="18" customHeight="1" x14ac:dyDescent="0.3">
      <c r="A134" s="1"/>
      <c r="B134" s="8">
        <v>130</v>
      </c>
      <c r="C134" s="12">
        <f>Simulador!$C$8+Simulador!$C$5*B134</f>
        <v>65000</v>
      </c>
      <c r="D134" s="12">
        <f>IF(Simulador!$C$9="SIM",(D133+Simulador!$C$5)*(1+Simulador!$C$7),D133+Simulador!$C$5+D133*Simulador!$C$7)</f>
        <v>114504.64556754874</v>
      </c>
      <c r="E134" s="12">
        <f>D134*Simulador!$C$7</f>
        <v>916.03716454038988</v>
      </c>
      <c r="F134" s="12">
        <f t="shared" ref="F134:F197" si="2">F133+E134</f>
        <v>49900.682732089139</v>
      </c>
      <c r="G134" s="1"/>
    </row>
    <row r="135" spans="1:7" ht="18" customHeight="1" x14ac:dyDescent="0.3">
      <c r="A135" s="1"/>
      <c r="B135" s="11">
        <v>131</v>
      </c>
      <c r="C135" s="3">
        <f>Simulador!$C$8+Simulador!$C$5*B135</f>
        <v>65500</v>
      </c>
      <c r="D135" s="3">
        <f>IF(Simulador!$C$9="SIM",(D134+Simulador!$C$5)*(1+Simulador!$C$7),D134+Simulador!$C$5+D134*Simulador!$C$7)</f>
        <v>115924.68273208913</v>
      </c>
      <c r="E135" s="3">
        <f>D135*Simulador!$C$7</f>
        <v>927.39746185671311</v>
      </c>
      <c r="F135" s="3">
        <f t="shared" si="2"/>
        <v>50828.080193945854</v>
      </c>
      <c r="G135" s="1"/>
    </row>
    <row r="136" spans="1:7" ht="18" customHeight="1" x14ac:dyDescent="0.3">
      <c r="A136" s="1"/>
      <c r="B136" s="8">
        <v>132</v>
      </c>
      <c r="C136" s="12">
        <f>Simulador!$C$8+Simulador!$C$5*B136</f>
        <v>66000</v>
      </c>
      <c r="D136" s="9">
        <f>IF(Simulador!$C$9="SIM",(D135+Simulador!$C$5)*(1+Simulador!$C$7),D135+Simulador!$C$5+D135*Simulador!$C$7)</f>
        <v>117356.08019394585</v>
      </c>
      <c r="E136" s="12">
        <f>D136*Simulador!$C$7</f>
        <v>938.84864155156674</v>
      </c>
      <c r="F136" s="12">
        <f t="shared" si="2"/>
        <v>51766.92883549742</v>
      </c>
      <c r="G136" s="1"/>
    </row>
    <row r="137" spans="1:7" ht="18" customHeight="1" x14ac:dyDescent="0.3">
      <c r="A137" s="1"/>
      <c r="B137" s="11">
        <v>133</v>
      </c>
      <c r="C137" s="3">
        <f>Simulador!$C$8+Simulador!$C$5*B137</f>
        <v>66500</v>
      </c>
      <c r="D137" s="3">
        <f>IF(Simulador!$C$9="SIM",(D136+Simulador!$C$5)*(1+Simulador!$C$7),D136+Simulador!$C$5+D136*Simulador!$C$7)</f>
        <v>118798.92883549741</v>
      </c>
      <c r="E137" s="3">
        <f>D137*Simulador!$C$7</f>
        <v>950.39143068397937</v>
      </c>
      <c r="F137" s="3">
        <f t="shared" si="2"/>
        <v>52717.320266181399</v>
      </c>
      <c r="G137" s="1"/>
    </row>
    <row r="138" spans="1:7" ht="18" customHeight="1" x14ac:dyDescent="0.3">
      <c r="A138" s="1"/>
      <c r="B138" s="8">
        <v>134</v>
      </c>
      <c r="C138" s="12">
        <f>Simulador!$C$8+Simulador!$C$5*B138</f>
        <v>67000</v>
      </c>
      <c r="D138" s="12">
        <f>IF(Simulador!$C$9="SIM",(D137+Simulador!$C$5)*(1+Simulador!$C$7),D137+Simulador!$C$5+D137*Simulador!$C$7)</f>
        <v>120253.3202661814</v>
      </c>
      <c r="E138" s="12">
        <f>D138*Simulador!$C$7</f>
        <v>962.02656212945124</v>
      </c>
      <c r="F138" s="12">
        <f t="shared" si="2"/>
        <v>53679.346828310852</v>
      </c>
      <c r="G138" s="1"/>
    </row>
    <row r="139" spans="1:7" ht="18" customHeight="1" x14ac:dyDescent="0.3">
      <c r="A139" s="1"/>
      <c r="B139" s="11">
        <v>135</v>
      </c>
      <c r="C139" s="3">
        <f>Simulador!$C$8+Simulador!$C$5*B139</f>
        <v>67500</v>
      </c>
      <c r="D139" s="3">
        <f>IF(Simulador!$C$9="SIM",(D138+Simulador!$C$5)*(1+Simulador!$C$7),D138+Simulador!$C$5+D138*Simulador!$C$7)</f>
        <v>121719.34682831085</v>
      </c>
      <c r="E139" s="3">
        <f>D139*Simulador!$C$7</f>
        <v>973.75477462648689</v>
      </c>
      <c r="F139" s="3">
        <f t="shared" si="2"/>
        <v>54653.101602937342</v>
      </c>
      <c r="G139" s="1"/>
    </row>
    <row r="140" spans="1:7" ht="18" customHeight="1" x14ac:dyDescent="0.3">
      <c r="A140" s="1"/>
      <c r="B140" s="8">
        <v>136</v>
      </c>
      <c r="C140" s="12">
        <f>Simulador!$C$8+Simulador!$C$5*B140</f>
        <v>68000</v>
      </c>
      <c r="D140" s="12">
        <f>IF(Simulador!$C$9="SIM",(D139+Simulador!$C$5)*(1+Simulador!$C$7),D139+Simulador!$C$5+D139*Simulador!$C$7)</f>
        <v>123197.10160293734</v>
      </c>
      <c r="E140" s="12">
        <f>D140*Simulador!$C$7</f>
        <v>985.57681282349881</v>
      </c>
      <c r="F140" s="12">
        <f t="shared" si="2"/>
        <v>55638.678415760842</v>
      </c>
      <c r="G140" s="1"/>
    </row>
    <row r="141" spans="1:7" ht="18" customHeight="1" x14ac:dyDescent="0.3">
      <c r="A141" s="1"/>
      <c r="B141" s="11">
        <v>137</v>
      </c>
      <c r="C141" s="3">
        <f>Simulador!$C$8+Simulador!$C$5*B141</f>
        <v>68500</v>
      </c>
      <c r="D141" s="3">
        <f>IF(Simulador!$C$9="SIM",(D140+Simulador!$C$5)*(1+Simulador!$C$7),D140+Simulador!$C$5+D140*Simulador!$C$7)</f>
        <v>124686.67841576085</v>
      </c>
      <c r="E141" s="3">
        <f>D141*Simulador!$C$7</f>
        <v>997.49342732608682</v>
      </c>
      <c r="F141" s="3">
        <f t="shared" si="2"/>
        <v>56636.17184308693</v>
      </c>
      <c r="G141" s="1"/>
    </row>
    <row r="142" spans="1:7" ht="18" customHeight="1" x14ac:dyDescent="0.3">
      <c r="A142" s="1"/>
      <c r="B142" s="8">
        <v>138</v>
      </c>
      <c r="C142" s="12">
        <f>Simulador!$C$8+Simulador!$C$5*B142</f>
        <v>69000</v>
      </c>
      <c r="D142" s="12">
        <f>IF(Simulador!$C$9="SIM",(D141+Simulador!$C$5)*(1+Simulador!$C$7),D141+Simulador!$C$5+D141*Simulador!$C$7)</f>
        <v>126188.17184308694</v>
      </c>
      <c r="E142" s="12">
        <f>D142*Simulador!$C$7</f>
        <v>1009.5053747446955</v>
      </c>
      <c r="F142" s="12">
        <f t="shared" si="2"/>
        <v>57645.677217831624</v>
      </c>
      <c r="G142" s="1"/>
    </row>
    <row r="143" spans="1:7" ht="18" customHeight="1" x14ac:dyDescent="0.3">
      <c r="A143" s="1"/>
      <c r="B143" s="11">
        <v>139</v>
      </c>
      <c r="C143" s="3">
        <f>Simulador!$C$8+Simulador!$C$5*B143</f>
        <v>69500</v>
      </c>
      <c r="D143" s="3">
        <f>IF(Simulador!$C$9="SIM",(D142+Simulador!$C$5)*(1+Simulador!$C$7),D142+Simulador!$C$5+D142*Simulador!$C$7)</f>
        <v>127701.67721783163</v>
      </c>
      <c r="E143" s="3">
        <f>D143*Simulador!$C$7</f>
        <v>1021.613417742653</v>
      </c>
      <c r="F143" s="3">
        <f t="shared" si="2"/>
        <v>58667.290635574274</v>
      </c>
      <c r="G143" s="1"/>
    </row>
    <row r="144" spans="1:7" ht="18" customHeight="1" x14ac:dyDescent="0.3">
      <c r="A144" s="1"/>
      <c r="B144" s="8">
        <v>140</v>
      </c>
      <c r="C144" s="12">
        <f>Simulador!$C$8+Simulador!$C$5*B144</f>
        <v>70000</v>
      </c>
      <c r="D144" s="12">
        <f>IF(Simulador!$C$9="SIM",(D143+Simulador!$C$5)*(1+Simulador!$C$7),D143+Simulador!$C$5+D143*Simulador!$C$7)</f>
        <v>129227.29063557429</v>
      </c>
      <c r="E144" s="12">
        <f>D144*Simulador!$C$7</f>
        <v>1033.8183250845943</v>
      </c>
      <c r="F144" s="12">
        <f t="shared" si="2"/>
        <v>59701.108960658872</v>
      </c>
      <c r="G144" s="1"/>
    </row>
    <row r="145" spans="1:7" ht="18" customHeight="1" x14ac:dyDescent="0.3">
      <c r="A145" s="1"/>
      <c r="B145" s="11">
        <v>141</v>
      </c>
      <c r="C145" s="3">
        <f>Simulador!$C$8+Simulador!$C$5*B145</f>
        <v>70500</v>
      </c>
      <c r="D145" s="3">
        <f>IF(Simulador!$C$9="SIM",(D144+Simulador!$C$5)*(1+Simulador!$C$7),D144+Simulador!$C$5+D144*Simulador!$C$7)</f>
        <v>130765.10896065888</v>
      </c>
      <c r="E145" s="3">
        <f>D145*Simulador!$C$7</f>
        <v>1046.1208716852711</v>
      </c>
      <c r="F145" s="3">
        <f t="shared" si="2"/>
        <v>60747.229832344143</v>
      </c>
      <c r="G145" s="1"/>
    </row>
    <row r="146" spans="1:7" ht="18" customHeight="1" x14ac:dyDescent="0.3">
      <c r="A146" s="1"/>
      <c r="B146" s="8">
        <v>142</v>
      </c>
      <c r="C146" s="12">
        <f>Simulador!$C$8+Simulador!$C$5*B146</f>
        <v>71000</v>
      </c>
      <c r="D146" s="12">
        <f>IF(Simulador!$C$9="SIM",(D145+Simulador!$C$5)*(1+Simulador!$C$7),D145+Simulador!$C$5+D145*Simulador!$C$7)</f>
        <v>132315.22983234416</v>
      </c>
      <c r="E146" s="12">
        <f>D146*Simulador!$C$7</f>
        <v>1058.5218386587533</v>
      </c>
      <c r="F146" s="12">
        <f t="shared" si="2"/>
        <v>61805.751671002894</v>
      </c>
      <c r="G146" s="1"/>
    </row>
    <row r="147" spans="1:7" ht="18" customHeight="1" x14ac:dyDescent="0.3">
      <c r="A147" s="1"/>
      <c r="B147" s="11">
        <v>143</v>
      </c>
      <c r="C147" s="3">
        <f>Simulador!$C$8+Simulador!$C$5*B147</f>
        <v>71500</v>
      </c>
      <c r="D147" s="3">
        <f>IF(Simulador!$C$9="SIM",(D146+Simulador!$C$5)*(1+Simulador!$C$7),D146+Simulador!$C$5+D146*Simulador!$C$7)</f>
        <v>133877.75167100292</v>
      </c>
      <c r="E147" s="3">
        <f>D147*Simulador!$C$7</f>
        <v>1071.0220133680234</v>
      </c>
      <c r="F147" s="3">
        <f t="shared" si="2"/>
        <v>62876.773684370921</v>
      </c>
      <c r="G147" s="1"/>
    </row>
    <row r="148" spans="1:7" ht="18" customHeight="1" x14ac:dyDescent="0.3">
      <c r="A148" s="1"/>
      <c r="B148" s="8">
        <v>144</v>
      </c>
      <c r="C148" s="12">
        <f>Simulador!$C$8+Simulador!$C$5*B148</f>
        <v>72000</v>
      </c>
      <c r="D148" s="9">
        <f>IF(Simulador!$C$9="SIM",(D147+Simulador!$C$5)*(1+Simulador!$C$7),D147+Simulador!$C$5+D147*Simulador!$C$7)</f>
        <v>135452.77368437094</v>
      </c>
      <c r="E148" s="12">
        <f>D148*Simulador!$C$7</f>
        <v>1083.6221894749676</v>
      </c>
      <c r="F148" s="12">
        <f t="shared" si="2"/>
        <v>63960.39587384589</v>
      </c>
      <c r="G148" s="1"/>
    </row>
    <row r="149" spans="1:7" ht="18" customHeight="1" x14ac:dyDescent="0.3">
      <c r="A149" s="1"/>
      <c r="B149" s="11">
        <v>145</v>
      </c>
      <c r="C149" s="3">
        <f>Simulador!$C$8+Simulador!$C$5*B149</f>
        <v>72500</v>
      </c>
      <c r="D149" s="3">
        <f>IF(Simulador!$C$9="SIM",(D148+Simulador!$C$5)*(1+Simulador!$C$7),D148+Simulador!$C$5+D148*Simulador!$C$7)</f>
        <v>137040.3958738459</v>
      </c>
      <c r="E149" s="3">
        <f>D149*Simulador!$C$7</f>
        <v>1096.3231669907673</v>
      </c>
      <c r="F149" s="3">
        <f t="shared" si="2"/>
        <v>65056.719040836659</v>
      </c>
      <c r="G149" s="1"/>
    </row>
    <row r="150" spans="1:7" ht="18" customHeight="1" x14ac:dyDescent="0.3">
      <c r="A150" s="1"/>
      <c r="B150" s="8">
        <v>146</v>
      </c>
      <c r="C150" s="12">
        <f>Simulador!$C$8+Simulador!$C$5*B150</f>
        <v>73000</v>
      </c>
      <c r="D150" s="12">
        <f>IF(Simulador!$C$9="SIM",(D149+Simulador!$C$5)*(1+Simulador!$C$7),D149+Simulador!$C$5+D149*Simulador!$C$7)</f>
        <v>138640.71904083667</v>
      </c>
      <c r="E150" s="12">
        <f>D150*Simulador!$C$7</f>
        <v>1109.1257523266934</v>
      </c>
      <c r="F150" s="12">
        <f t="shared" si="2"/>
        <v>66165.844793163356</v>
      </c>
      <c r="G150" s="1"/>
    </row>
    <row r="151" spans="1:7" ht="18" customHeight="1" x14ac:dyDescent="0.3">
      <c r="A151" s="1"/>
      <c r="B151" s="11">
        <v>147</v>
      </c>
      <c r="C151" s="3">
        <f>Simulador!$C$8+Simulador!$C$5*B151</f>
        <v>73500</v>
      </c>
      <c r="D151" s="3">
        <f>IF(Simulador!$C$9="SIM",(D150+Simulador!$C$5)*(1+Simulador!$C$7),D150+Simulador!$C$5+D150*Simulador!$C$7)</f>
        <v>140253.84479316336</v>
      </c>
      <c r="E151" s="3">
        <f>D151*Simulador!$C$7</f>
        <v>1122.0307583453068</v>
      </c>
      <c r="F151" s="3">
        <f t="shared" si="2"/>
        <v>67287.875551508667</v>
      </c>
      <c r="G151" s="1"/>
    </row>
    <row r="152" spans="1:7" ht="18" customHeight="1" x14ac:dyDescent="0.3">
      <c r="A152" s="1"/>
      <c r="B152" s="8">
        <v>148</v>
      </c>
      <c r="C152" s="12">
        <f>Simulador!$C$8+Simulador!$C$5*B152</f>
        <v>74000</v>
      </c>
      <c r="D152" s="12">
        <f>IF(Simulador!$C$9="SIM",(D151+Simulador!$C$5)*(1+Simulador!$C$7),D151+Simulador!$C$5+D151*Simulador!$C$7)</f>
        <v>141879.87555150865</v>
      </c>
      <c r="E152" s="12">
        <f>D152*Simulador!$C$7</f>
        <v>1135.0390044120693</v>
      </c>
      <c r="F152" s="12">
        <f t="shared" si="2"/>
        <v>68422.914555920739</v>
      </c>
      <c r="G152" s="1"/>
    </row>
    <row r="153" spans="1:7" ht="18" customHeight="1" x14ac:dyDescent="0.3">
      <c r="A153" s="1"/>
      <c r="B153" s="11">
        <v>149</v>
      </c>
      <c r="C153" s="3">
        <f>Simulador!$C$8+Simulador!$C$5*B153</f>
        <v>74500</v>
      </c>
      <c r="D153" s="3">
        <f>IF(Simulador!$C$9="SIM",(D152+Simulador!$C$5)*(1+Simulador!$C$7),D152+Simulador!$C$5+D152*Simulador!$C$7)</f>
        <v>143518.91455592072</v>
      </c>
      <c r="E153" s="3">
        <f>D153*Simulador!$C$7</f>
        <v>1148.1513164473658</v>
      </c>
      <c r="F153" s="3">
        <f t="shared" si="2"/>
        <v>69571.065872368112</v>
      </c>
      <c r="G153" s="1"/>
    </row>
    <row r="154" spans="1:7" ht="18" customHeight="1" x14ac:dyDescent="0.3">
      <c r="A154" s="1"/>
      <c r="B154" s="8">
        <v>150</v>
      </c>
      <c r="C154" s="12">
        <f>Simulador!$C$8+Simulador!$C$5*B154</f>
        <v>75000</v>
      </c>
      <c r="D154" s="12">
        <f>IF(Simulador!$C$9="SIM",(D153+Simulador!$C$5)*(1+Simulador!$C$7),D153+Simulador!$C$5+D153*Simulador!$C$7)</f>
        <v>145171.06587236808</v>
      </c>
      <c r="E154" s="12">
        <f>D154*Simulador!$C$7</f>
        <v>1161.3685269789446</v>
      </c>
      <c r="F154" s="12">
        <f t="shared" si="2"/>
        <v>70732.434399347054</v>
      </c>
      <c r="G154" s="1"/>
    </row>
    <row r="155" spans="1:7" ht="18" customHeight="1" x14ac:dyDescent="0.3">
      <c r="A155" s="1"/>
      <c r="B155" s="11">
        <v>151</v>
      </c>
      <c r="C155" s="3">
        <f>Simulador!$C$8+Simulador!$C$5*B155</f>
        <v>75500</v>
      </c>
      <c r="D155" s="3">
        <f>IF(Simulador!$C$9="SIM",(D154+Simulador!$C$5)*(1+Simulador!$C$7),D154+Simulador!$C$5+D154*Simulador!$C$7)</f>
        <v>146836.43439934702</v>
      </c>
      <c r="E155" s="3">
        <f>D155*Simulador!$C$7</f>
        <v>1174.6914751947763</v>
      </c>
      <c r="F155" s="3">
        <f t="shared" si="2"/>
        <v>71907.125874541831</v>
      </c>
      <c r="G155" s="1"/>
    </row>
    <row r="156" spans="1:7" ht="18" customHeight="1" x14ac:dyDescent="0.3">
      <c r="A156" s="1"/>
      <c r="B156" s="8">
        <v>152</v>
      </c>
      <c r="C156" s="12">
        <f>Simulador!$C$8+Simulador!$C$5*B156</f>
        <v>76000</v>
      </c>
      <c r="D156" s="12">
        <f>IF(Simulador!$C$9="SIM",(D155+Simulador!$C$5)*(1+Simulador!$C$7),D155+Simulador!$C$5+D155*Simulador!$C$7)</f>
        <v>148515.12587454182</v>
      </c>
      <c r="E156" s="12">
        <f>D156*Simulador!$C$7</f>
        <v>1188.1210069963345</v>
      </c>
      <c r="F156" s="12">
        <f t="shared" si="2"/>
        <v>73095.246881538158</v>
      </c>
      <c r="G156" s="1"/>
    </row>
    <row r="157" spans="1:7" ht="18" customHeight="1" x14ac:dyDescent="0.3">
      <c r="A157" s="1"/>
      <c r="B157" s="11">
        <v>153</v>
      </c>
      <c r="C157" s="3">
        <f>Simulador!$C$8+Simulador!$C$5*B157</f>
        <v>76500</v>
      </c>
      <c r="D157" s="3">
        <f>IF(Simulador!$C$9="SIM",(D156+Simulador!$C$5)*(1+Simulador!$C$7),D156+Simulador!$C$5+D156*Simulador!$C$7)</f>
        <v>150207.24688153816</v>
      </c>
      <c r="E157" s="3">
        <f>D157*Simulador!$C$7</f>
        <v>1201.6579750523053</v>
      </c>
      <c r="F157" s="3">
        <f t="shared" si="2"/>
        <v>74296.904856590467</v>
      </c>
      <c r="G157" s="1"/>
    </row>
    <row r="158" spans="1:7" ht="18" customHeight="1" x14ac:dyDescent="0.3">
      <c r="A158" s="1"/>
      <c r="B158" s="8">
        <v>154</v>
      </c>
      <c r="C158" s="12">
        <f>Simulador!$C$8+Simulador!$C$5*B158</f>
        <v>77000</v>
      </c>
      <c r="D158" s="12">
        <f>IF(Simulador!$C$9="SIM",(D157+Simulador!$C$5)*(1+Simulador!$C$7),D157+Simulador!$C$5+D157*Simulador!$C$7)</f>
        <v>151912.90485659047</v>
      </c>
      <c r="E158" s="12">
        <f>D158*Simulador!$C$7</f>
        <v>1215.3032388527238</v>
      </c>
      <c r="F158" s="12">
        <f t="shared" si="2"/>
        <v>75512.208095443188</v>
      </c>
      <c r="G158" s="1"/>
    </row>
    <row r="159" spans="1:7" ht="18" customHeight="1" x14ac:dyDescent="0.3">
      <c r="A159" s="1"/>
      <c r="B159" s="11">
        <v>155</v>
      </c>
      <c r="C159" s="3">
        <f>Simulador!$C$8+Simulador!$C$5*B159</f>
        <v>77500</v>
      </c>
      <c r="D159" s="3">
        <f>IF(Simulador!$C$9="SIM",(D158+Simulador!$C$5)*(1+Simulador!$C$7),D158+Simulador!$C$5+D158*Simulador!$C$7)</f>
        <v>153632.2080954432</v>
      </c>
      <c r="E159" s="3">
        <f>D159*Simulador!$C$7</f>
        <v>1229.0576647635457</v>
      </c>
      <c r="F159" s="3">
        <f t="shared" si="2"/>
        <v>76741.265760206734</v>
      </c>
      <c r="G159" s="1"/>
    </row>
    <row r="160" spans="1:7" ht="18" customHeight="1" x14ac:dyDescent="0.3">
      <c r="A160" s="1"/>
      <c r="B160" s="8">
        <v>156</v>
      </c>
      <c r="C160" s="12">
        <f>Simulador!$C$8+Simulador!$C$5*B160</f>
        <v>78000</v>
      </c>
      <c r="D160" s="9">
        <f>IF(Simulador!$C$9="SIM",(D159+Simulador!$C$5)*(1+Simulador!$C$7),D159+Simulador!$C$5+D159*Simulador!$C$7)</f>
        <v>155365.26576020676</v>
      </c>
      <c r="E160" s="12">
        <f>D160*Simulador!$C$7</f>
        <v>1242.9221260816541</v>
      </c>
      <c r="F160" s="12">
        <f t="shared" si="2"/>
        <v>77984.18788628839</v>
      </c>
      <c r="G160" s="1"/>
    </row>
    <row r="161" spans="1:7" ht="18" customHeight="1" x14ac:dyDescent="0.3">
      <c r="A161" s="1"/>
      <c r="B161" s="11">
        <v>157</v>
      </c>
      <c r="C161" s="3">
        <f>Simulador!$C$8+Simulador!$C$5*B161</f>
        <v>78500</v>
      </c>
      <c r="D161" s="3">
        <f>IF(Simulador!$C$9="SIM",(D160+Simulador!$C$5)*(1+Simulador!$C$7),D160+Simulador!$C$5+D160*Simulador!$C$7)</f>
        <v>157112.18788628842</v>
      </c>
      <c r="E161" s="3">
        <f>D161*Simulador!$C$7</f>
        <v>1256.8975030903073</v>
      </c>
      <c r="F161" s="3">
        <f t="shared" si="2"/>
        <v>79241.085389378699</v>
      </c>
      <c r="G161" s="1"/>
    </row>
    <row r="162" spans="1:7" ht="18" customHeight="1" x14ac:dyDescent="0.3">
      <c r="A162" s="1"/>
      <c r="B162" s="8">
        <v>158</v>
      </c>
      <c r="C162" s="12">
        <f>Simulador!$C$8+Simulador!$C$5*B162</f>
        <v>79000</v>
      </c>
      <c r="D162" s="12">
        <f>IF(Simulador!$C$9="SIM",(D161+Simulador!$C$5)*(1+Simulador!$C$7),D161+Simulador!$C$5+D161*Simulador!$C$7)</f>
        <v>158873.08538937871</v>
      </c>
      <c r="E162" s="12">
        <f>D162*Simulador!$C$7</f>
        <v>1270.9846831150298</v>
      </c>
      <c r="F162" s="12">
        <f t="shared" si="2"/>
        <v>80512.070072493734</v>
      </c>
      <c r="G162" s="1"/>
    </row>
    <row r="163" spans="1:7" ht="18" customHeight="1" x14ac:dyDescent="0.3">
      <c r="A163" s="1"/>
      <c r="B163" s="11">
        <v>159</v>
      </c>
      <c r="C163" s="3">
        <f>Simulador!$C$8+Simulador!$C$5*B163</f>
        <v>79500</v>
      </c>
      <c r="D163" s="3">
        <f>IF(Simulador!$C$9="SIM",(D162+Simulador!$C$5)*(1+Simulador!$C$7),D162+Simulador!$C$5+D162*Simulador!$C$7)</f>
        <v>160648.07007249375</v>
      </c>
      <c r="E163" s="3">
        <f>D163*Simulador!$C$7</f>
        <v>1285.1845605799501</v>
      </c>
      <c r="F163" s="3">
        <f t="shared" si="2"/>
        <v>81797.25463307368</v>
      </c>
      <c r="G163" s="1"/>
    </row>
    <row r="164" spans="1:7" ht="18" customHeight="1" x14ac:dyDescent="0.3">
      <c r="A164" s="1"/>
      <c r="B164" s="8">
        <v>160</v>
      </c>
      <c r="C164" s="12">
        <f>Simulador!$C$8+Simulador!$C$5*B164</f>
        <v>80000</v>
      </c>
      <c r="D164" s="12">
        <f>IF(Simulador!$C$9="SIM",(D163+Simulador!$C$5)*(1+Simulador!$C$7),D163+Simulador!$C$5+D163*Simulador!$C$7)</f>
        <v>162437.2546330737</v>
      </c>
      <c r="E164" s="12">
        <f>D164*Simulador!$C$7</f>
        <v>1299.4980370645897</v>
      </c>
      <c r="F164" s="12">
        <f t="shared" si="2"/>
        <v>83096.752670138274</v>
      </c>
      <c r="G164" s="1"/>
    </row>
    <row r="165" spans="1:7" ht="18" customHeight="1" x14ac:dyDescent="0.3">
      <c r="A165" s="1"/>
      <c r="B165" s="11">
        <v>161</v>
      </c>
      <c r="C165" s="3">
        <f>Simulador!$C$8+Simulador!$C$5*B165</f>
        <v>80500</v>
      </c>
      <c r="D165" s="3">
        <f>IF(Simulador!$C$9="SIM",(D164+Simulador!$C$5)*(1+Simulador!$C$7),D164+Simulador!$C$5+D164*Simulador!$C$7)</f>
        <v>164240.75267013829</v>
      </c>
      <c r="E165" s="3">
        <f>D165*Simulador!$C$7</f>
        <v>1313.9260213611062</v>
      </c>
      <c r="F165" s="3">
        <f t="shared" si="2"/>
        <v>84410.678691499386</v>
      </c>
      <c r="G165" s="1"/>
    </row>
    <row r="166" spans="1:7" ht="18" customHeight="1" x14ac:dyDescent="0.3">
      <c r="A166" s="1"/>
      <c r="B166" s="8">
        <v>162</v>
      </c>
      <c r="C166" s="12">
        <f>Simulador!$C$8+Simulador!$C$5*B166</f>
        <v>81000</v>
      </c>
      <c r="D166" s="12">
        <f>IF(Simulador!$C$9="SIM",(D165+Simulador!$C$5)*(1+Simulador!$C$7),D165+Simulador!$C$5+D165*Simulador!$C$7)</f>
        <v>166058.6786914994</v>
      </c>
      <c r="E166" s="12">
        <f>D166*Simulador!$C$7</f>
        <v>1328.4694295319953</v>
      </c>
      <c r="F166" s="12">
        <f t="shared" si="2"/>
        <v>85739.14812103138</v>
      </c>
      <c r="G166" s="1"/>
    </row>
    <row r="167" spans="1:7" ht="18" customHeight="1" x14ac:dyDescent="0.3">
      <c r="A167" s="1"/>
      <c r="B167" s="11">
        <v>163</v>
      </c>
      <c r="C167" s="3">
        <f>Simulador!$C$8+Simulador!$C$5*B167</f>
        <v>81500</v>
      </c>
      <c r="D167" s="3">
        <f>IF(Simulador!$C$9="SIM",(D166+Simulador!$C$5)*(1+Simulador!$C$7),D166+Simulador!$C$5+D166*Simulador!$C$7)</f>
        <v>167891.14812103141</v>
      </c>
      <c r="E167" s="3">
        <f>D167*Simulador!$C$7</f>
        <v>1343.1291849682514</v>
      </c>
      <c r="F167" s="3">
        <f t="shared" si="2"/>
        <v>87082.277305999625</v>
      </c>
      <c r="G167" s="1"/>
    </row>
    <row r="168" spans="1:7" ht="18" customHeight="1" x14ac:dyDescent="0.3">
      <c r="A168" s="1"/>
      <c r="B168" s="8">
        <v>164</v>
      </c>
      <c r="C168" s="12">
        <f>Simulador!$C$8+Simulador!$C$5*B168</f>
        <v>82000</v>
      </c>
      <c r="D168" s="12">
        <f>IF(Simulador!$C$9="SIM",(D167+Simulador!$C$5)*(1+Simulador!$C$7),D167+Simulador!$C$5+D167*Simulador!$C$7)</f>
        <v>169738.27730599965</v>
      </c>
      <c r="E168" s="12">
        <f>D168*Simulador!$C$7</f>
        <v>1357.9062184479972</v>
      </c>
      <c r="F168" s="12">
        <f t="shared" si="2"/>
        <v>88440.183524447624</v>
      </c>
      <c r="G168" s="1"/>
    </row>
    <row r="169" spans="1:7" ht="18" customHeight="1" x14ac:dyDescent="0.3">
      <c r="A169" s="1"/>
      <c r="B169" s="11">
        <v>165</v>
      </c>
      <c r="C169" s="3">
        <f>Simulador!$C$8+Simulador!$C$5*B169</f>
        <v>82500</v>
      </c>
      <c r="D169" s="3">
        <f>IF(Simulador!$C$9="SIM",(D168+Simulador!$C$5)*(1+Simulador!$C$7),D168+Simulador!$C$5+D168*Simulador!$C$7)</f>
        <v>171600.18352444764</v>
      </c>
      <c r="E169" s="3">
        <f>D169*Simulador!$C$7</f>
        <v>1372.801468195581</v>
      </c>
      <c r="F169" s="3">
        <f t="shared" si="2"/>
        <v>89812.984992643207</v>
      </c>
      <c r="G169" s="1"/>
    </row>
    <row r="170" spans="1:7" ht="18" customHeight="1" x14ac:dyDescent="0.3">
      <c r="A170" s="1"/>
      <c r="B170" s="8">
        <v>166</v>
      </c>
      <c r="C170" s="12">
        <f>Simulador!$C$8+Simulador!$C$5*B170</f>
        <v>83000</v>
      </c>
      <c r="D170" s="12">
        <f>IF(Simulador!$C$9="SIM",(D169+Simulador!$C$5)*(1+Simulador!$C$7),D169+Simulador!$C$5+D169*Simulador!$C$7)</f>
        <v>173476.98499264321</v>
      </c>
      <c r="E170" s="12">
        <f>D170*Simulador!$C$7</f>
        <v>1387.8158799411458</v>
      </c>
      <c r="F170" s="12">
        <f t="shared" si="2"/>
        <v>91200.800872584354</v>
      </c>
      <c r="G170" s="1"/>
    </row>
    <row r="171" spans="1:7" ht="18" customHeight="1" x14ac:dyDescent="0.3">
      <c r="A171" s="1"/>
      <c r="B171" s="11">
        <v>167</v>
      </c>
      <c r="C171" s="3">
        <f>Simulador!$C$8+Simulador!$C$5*B171</f>
        <v>83500</v>
      </c>
      <c r="D171" s="3">
        <f>IF(Simulador!$C$9="SIM",(D170+Simulador!$C$5)*(1+Simulador!$C$7),D170+Simulador!$C$5+D170*Simulador!$C$7)</f>
        <v>175368.80087258437</v>
      </c>
      <c r="E171" s="3">
        <f>D171*Simulador!$C$7</f>
        <v>1402.9504069806749</v>
      </c>
      <c r="F171" s="3">
        <f t="shared" si="2"/>
        <v>92603.751279565025</v>
      </c>
      <c r="G171" s="1"/>
    </row>
    <row r="172" spans="1:7" ht="18" customHeight="1" x14ac:dyDescent="0.3">
      <c r="A172" s="1"/>
      <c r="B172" s="8">
        <v>168</v>
      </c>
      <c r="C172" s="12">
        <f>Simulador!$C$8+Simulador!$C$5*B172</f>
        <v>84000</v>
      </c>
      <c r="D172" s="9">
        <f>IF(Simulador!$C$9="SIM",(D171+Simulador!$C$5)*(1+Simulador!$C$7),D171+Simulador!$C$5+D171*Simulador!$C$7)</f>
        <v>177275.75127956504</v>
      </c>
      <c r="E172" s="12">
        <f>D172*Simulador!$C$7</f>
        <v>1418.2060102365203</v>
      </c>
      <c r="F172" s="12">
        <f t="shared" si="2"/>
        <v>94021.957289801547</v>
      </c>
      <c r="G172" s="1"/>
    </row>
    <row r="173" spans="1:7" ht="18" customHeight="1" x14ac:dyDescent="0.3">
      <c r="A173" s="1"/>
      <c r="B173" s="11">
        <v>169</v>
      </c>
      <c r="C173" s="3">
        <f>Simulador!$C$8+Simulador!$C$5*B173</f>
        <v>84500</v>
      </c>
      <c r="D173" s="3">
        <f>IF(Simulador!$C$9="SIM",(D172+Simulador!$C$5)*(1+Simulador!$C$7),D172+Simulador!$C$5+D172*Simulador!$C$7)</f>
        <v>179197.95728980156</v>
      </c>
      <c r="E173" s="3">
        <f>D173*Simulador!$C$7</f>
        <v>1433.5836583184125</v>
      </c>
      <c r="F173" s="3">
        <f t="shared" si="2"/>
        <v>95455.54094811996</v>
      </c>
      <c r="G173" s="1"/>
    </row>
    <row r="174" spans="1:7" ht="18" customHeight="1" x14ac:dyDescent="0.3">
      <c r="A174" s="1"/>
      <c r="B174" s="8">
        <v>170</v>
      </c>
      <c r="C174" s="12">
        <f>Simulador!$C$8+Simulador!$C$5*B174</f>
        <v>85000</v>
      </c>
      <c r="D174" s="12">
        <f>IF(Simulador!$C$9="SIM",(D173+Simulador!$C$5)*(1+Simulador!$C$7),D173+Simulador!$C$5+D173*Simulador!$C$7)</f>
        <v>181135.54094811997</v>
      </c>
      <c r="E174" s="12">
        <f>D174*Simulador!$C$7</f>
        <v>1449.0843275849597</v>
      </c>
      <c r="F174" s="12">
        <f t="shared" si="2"/>
        <v>96904.625275704922</v>
      </c>
      <c r="G174" s="1"/>
    </row>
    <row r="175" spans="1:7" ht="18" customHeight="1" x14ac:dyDescent="0.3">
      <c r="A175" s="1"/>
      <c r="B175" s="11">
        <v>171</v>
      </c>
      <c r="C175" s="3">
        <f>Simulador!$C$8+Simulador!$C$5*B175</f>
        <v>85500</v>
      </c>
      <c r="D175" s="3">
        <f>IF(Simulador!$C$9="SIM",(D174+Simulador!$C$5)*(1+Simulador!$C$7),D174+Simulador!$C$5+D174*Simulador!$C$7)</f>
        <v>183088.62527570492</v>
      </c>
      <c r="E175" s="3">
        <f>D175*Simulador!$C$7</f>
        <v>1464.7090022056393</v>
      </c>
      <c r="F175" s="3">
        <f t="shared" si="2"/>
        <v>98369.334277910559</v>
      </c>
      <c r="G175" s="1"/>
    </row>
    <row r="176" spans="1:7" ht="18" customHeight="1" x14ac:dyDescent="0.3">
      <c r="A176" s="1"/>
      <c r="B176" s="8">
        <v>172</v>
      </c>
      <c r="C176" s="12">
        <f>Simulador!$C$8+Simulador!$C$5*B176</f>
        <v>86000</v>
      </c>
      <c r="D176" s="12">
        <f>IF(Simulador!$C$9="SIM",(D175+Simulador!$C$5)*(1+Simulador!$C$7),D175+Simulador!$C$5+D175*Simulador!$C$7)</f>
        <v>185057.33427791056</v>
      </c>
      <c r="E176" s="12">
        <f>D176*Simulador!$C$7</f>
        <v>1480.4586742232846</v>
      </c>
      <c r="F176" s="12">
        <f t="shared" si="2"/>
        <v>99849.792952133837</v>
      </c>
      <c r="G176" s="1"/>
    </row>
    <row r="177" spans="1:7" ht="18" customHeight="1" x14ac:dyDescent="0.3">
      <c r="A177" s="1"/>
      <c r="B177" s="11">
        <v>173</v>
      </c>
      <c r="C177" s="3">
        <f>Simulador!$C$8+Simulador!$C$5*B177</f>
        <v>86500</v>
      </c>
      <c r="D177" s="3">
        <f>IF(Simulador!$C$9="SIM",(D176+Simulador!$C$5)*(1+Simulador!$C$7),D176+Simulador!$C$5+D176*Simulador!$C$7)</f>
        <v>187041.79295213384</v>
      </c>
      <c r="E177" s="3">
        <f>D177*Simulador!$C$7</f>
        <v>1496.3343436170708</v>
      </c>
      <c r="F177" s="3">
        <f t="shared" si="2"/>
        <v>101346.12729575091</v>
      </c>
      <c r="G177" s="1"/>
    </row>
    <row r="178" spans="1:7" ht="18" customHeight="1" x14ac:dyDescent="0.3">
      <c r="A178" s="1"/>
      <c r="B178" s="8">
        <v>174</v>
      </c>
      <c r="C178" s="12">
        <f>Simulador!$C$8+Simulador!$C$5*B178</f>
        <v>87000</v>
      </c>
      <c r="D178" s="12">
        <f>IF(Simulador!$C$9="SIM",(D177+Simulador!$C$5)*(1+Simulador!$C$7),D177+Simulador!$C$5+D177*Simulador!$C$7)</f>
        <v>189042.12729575092</v>
      </c>
      <c r="E178" s="12">
        <f>D178*Simulador!$C$7</f>
        <v>1512.3370183660074</v>
      </c>
      <c r="F178" s="12">
        <f t="shared" si="2"/>
        <v>102858.46431411691</v>
      </c>
      <c r="G178" s="1"/>
    </row>
    <row r="179" spans="1:7" ht="18" customHeight="1" x14ac:dyDescent="0.3">
      <c r="A179" s="1"/>
      <c r="B179" s="11">
        <v>175</v>
      </c>
      <c r="C179" s="3">
        <f>Simulador!$C$8+Simulador!$C$5*B179</f>
        <v>87500</v>
      </c>
      <c r="D179" s="3">
        <f>IF(Simulador!$C$9="SIM",(D178+Simulador!$C$5)*(1+Simulador!$C$7),D178+Simulador!$C$5+D178*Simulador!$C$7)</f>
        <v>191058.46431411692</v>
      </c>
      <c r="E179" s="3">
        <f>D179*Simulador!$C$7</f>
        <v>1528.4677145129353</v>
      </c>
      <c r="F179" s="3">
        <f t="shared" si="2"/>
        <v>104386.93202862985</v>
      </c>
      <c r="G179" s="1"/>
    </row>
    <row r="180" spans="1:7" ht="18" customHeight="1" x14ac:dyDescent="0.3">
      <c r="A180" s="1"/>
      <c r="B180" s="8">
        <v>176</v>
      </c>
      <c r="C180" s="12">
        <f>Simulador!$C$8+Simulador!$C$5*B180</f>
        <v>88000</v>
      </c>
      <c r="D180" s="12">
        <f>IF(Simulador!$C$9="SIM",(D179+Simulador!$C$5)*(1+Simulador!$C$7),D179+Simulador!$C$5+D179*Simulador!$C$7)</f>
        <v>193090.93202862985</v>
      </c>
      <c r="E180" s="12">
        <f>D180*Simulador!$C$7</f>
        <v>1544.7274562290388</v>
      </c>
      <c r="F180" s="12">
        <f t="shared" si="2"/>
        <v>105931.65948485889</v>
      </c>
      <c r="G180" s="1"/>
    </row>
    <row r="181" spans="1:7" ht="18" customHeight="1" x14ac:dyDescent="0.3">
      <c r="A181" s="1"/>
      <c r="B181" s="11">
        <v>177</v>
      </c>
      <c r="C181" s="3">
        <f>Simulador!$C$8+Simulador!$C$5*B181</f>
        <v>88500</v>
      </c>
      <c r="D181" s="3">
        <f>IF(Simulador!$C$9="SIM",(D180+Simulador!$C$5)*(1+Simulador!$C$7),D180+Simulador!$C$5+D180*Simulador!$C$7)</f>
        <v>195139.65948485889</v>
      </c>
      <c r="E181" s="3">
        <f>D181*Simulador!$C$7</f>
        <v>1561.1172758788712</v>
      </c>
      <c r="F181" s="3">
        <f t="shared" si="2"/>
        <v>107492.77676073776</v>
      </c>
      <c r="G181" s="1"/>
    </row>
    <row r="182" spans="1:7" ht="18" customHeight="1" x14ac:dyDescent="0.3">
      <c r="A182" s="1"/>
      <c r="B182" s="8">
        <v>178</v>
      </c>
      <c r="C182" s="12">
        <f>Simulador!$C$8+Simulador!$C$5*B182</f>
        <v>89000</v>
      </c>
      <c r="D182" s="12">
        <f>IF(Simulador!$C$9="SIM",(D181+Simulador!$C$5)*(1+Simulador!$C$7),D181+Simulador!$C$5+D181*Simulador!$C$7)</f>
        <v>197204.77676073776</v>
      </c>
      <c r="E182" s="12">
        <f>D182*Simulador!$C$7</f>
        <v>1577.6382140859021</v>
      </c>
      <c r="F182" s="12">
        <f t="shared" si="2"/>
        <v>109070.41497482367</v>
      </c>
      <c r="G182" s="1"/>
    </row>
    <row r="183" spans="1:7" ht="18" customHeight="1" x14ac:dyDescent="0.3">
      <c r="A183" s="1"/>
      <c r="B183" s="11">
        <v>179</v>
      </c>
      <c r="C183" s="3">
        <f>Simulador!$C$8+Simulador!$C$5*B183</f>
        <v>89500</v>
      </c>
      <c r="D183" s="3">
        <f>IF(Simulador!$C$9="SIM",(D182+Simulador!$C$5)*(1+Simulador!$C$7),D182+Simulador!$C$5+D182*Simulador!$C$7)</f>
        <v>199286.41497482365</v>
      </c>
      <c r="E183" s="3">
        <f>D183*Simulador!$C$7</f>
        <v>1594.2913197985893</v>
      </c>
      <c r="F183" s="3">
        <f t="shared" si="2"/>
        <v>110664.70629462226</v>
      </c>
      <c r="G183" s="1"/>
    </row>
    <row r="184" spans="1:7" ht="18" customHeight="1" x14ac:dyDescent="0.3">
      <c r="A184" s="1"/>
      <c r="B184" s="8">
        <v>180</v>
      </c>
      <c r="C184" s="12">
        <f>Simulador!$C$8+Simulador!$C$5*B184</f>
        <v>90000</v>
      </c>
      <c r="D184" s="9">
        <f>IF(Simulador!$C$9="SIM",(D183+Simulador!$C$5)*(1+Simulador!$C$7),D183+Simulador!$C$5+D183*Simulador!$C$7)</f>
        <v>201384.70629462224</v>
      </c>
      <c r="E184" s="12">
        <f>D184*Simulador!$C$7</f>
        <v>1611.077650356978</v>
      </c>
      <c r="F184" s="12">
        <f t="shared" si="2"/>
        <v>112275.78394497924</v>
      </c>
      <c r="G184" s="1"/>
    </row>
    <row r="185" spans="1:7" ht="18" customHeight="1" x14ac:dyDescent="0.3">
      <c r="A185" s="1"/>
      <c r="B185" s="11">
        <v>181</v>
      </c>
      <c r="C185" s="3">
        <f>Simulador!$C$8+Simulador!$C$5*B185</f>
        <v>90500</v>
      </c>
      <c r="D185" s="3">
        <f>IF(Simulador!$C$9="SIM",(D184+Simulador!$C$5)*(1+Simulador!$C$7),D184+Simulador!$C$5+D184*Simulador!$C$7)</f>
        <v>203499.78394497922</v>
      </c>
      <c r="E185" s="3">
        <f>D185*Simulador!$C$7</f>
        <v>1627.9982715598337</v>
      </c>
      <c r="F185" s="3">
        <f t="shared" si="2"/>
        <v>113903.78221653907</v>
      </c>
      <c r="G185" s="1"/>
    </row>
    <row r="186" spans="1:7" ht="18" customHeight="1" x14ac:dyDescent="0.3">
      <c r="A186" s="1"/>
      <c r="B186" s="8">
        <v>182</v>
      </c>
      <c r="C186" s="12">
        <f>Simulador!$C$8+Simulador!$C$5*B186</f>
        <v>91000</v>
      </c>
      <c r="D186" s="12">
        <f>IF(Simulador!$C$9="SIM",(D185+Simulador!$C$5)*(1+Simulador!$C$7),D185+Simulador!$C$5+D185*Simulador!$C$7)</f>
        <v>205631.78221653905</v>
      </c>
      <c r="E186" s="12">
        <f>D186*Simulador!$C$7</f>
        <v>1645.0542577323124</v>
      </c>
      <c r="F186" s="12">
        <f t="shared" si="2"/>
        <v>115548.83647427137</v>
      </c>
      <c r="G186" s="1"/>
    </row>
    <row r="187" spans="1:7" ht="18" customHeight="1" x14ac:dyDescent="0.3">
      <c r="A187" s="1"/>
      <c r="B187" s="11">
        <v>183</v>
      </c>
      <c r="C187" s="3">
        <f>Simulador!$C$8+Simulador!$C$5*B187</f>
        <v>91500</v>
      </c>
      <c r="D187" s="3">
        <f>IF(Simulador!$C$9="SIM",(D186+Simulador!$C$5)*(1+Simulador!$C$7),D186+Simulador!$C$5+D186*Simulador!$C$7)</f>
        <v>207780.83647427137</v>
      </c>
      <c r="E187" s="3">
        <f>D187*Simulador!$C$7</f>
        <v>1662.2466917941711</v>
      </c>
      <c r="F187" s="3">
        <f t="shared" si="2"/>
        <v>117211.08316606554</v>
      </c>
      <c r="G187" s="1"/>
    </row>
    <row r="188" spans="1:7" ht="18" customHeight="1" x14ac:dyDescent="0.3">
      <c r="A188" s="1"/>
      <c r="B188" s="8">
        <v>184</v>
      </c>
      <c r="C188" s="12">
        <f>Simulador!$C$8+Simulador!$C$5*B188</f>
        <v>92000</v>
      </c>
      <c r="D188" s="12">
        <f>IF(Simulador!$C$9="SIM",(D187+Simulador!$C$5)*(1+Simulador!$C$7),D187+Simulador!$C$5+D187*Simulador!$C$7)</f>
        <v>209947.08316606554</v>
      </c>
      <c r="E188" s="12">
        <f>D188*Simulador!$C$7</f>
        <v>1679.5766653285243</v>
      </c>
      <c r="F188" s="12">
        <f t="shared" si="2"/>
        <v>118890.65983139406</v>
      </c>
      <c r="G188" s="1"/>
    </row>
    <row r="189" spans="1:7" ht="18" customHeight="1" x14ac:dyDescent="0.3">
      <c r="A189" s="1"/>
      <c r="B189" s="11">
        <v>185</v>
      </c>
      <c r="C189" s="3">
        <f>Simulador!$C$8+Simulador!$C$5*B189</f>
        <v>92500</v>
      </c>
      <c r="D189" s="3">
        <f>IF(Simulador!$C$9="SIM",(D188+Simulador!$C$5)*(1+Simulador!$C$7),D188+Simulador!$C$5+D188*Simulador!$C$7)</f>
        <v>212130.65983139406</v>
      </c>
      <c r="E189" s="3">
        <f>D189*Simulador!$C$7</f>
        <v>1697.0452786511526</v>
      </c>
      <c r="F189" s="3">
        <f t="shared" si="2"/>
        <v>120587.70511004522</v>
      </c>
      <c r="G189" s="1"/>
    </row>
    <row r="190" spans="1:7" ht="18" customHeight="1" x14ac:dyDescent="0.3">
      <c r="A190" s="1"/>
      <c r="B190" s="8">
        <v>186</v>
      </c>
      <c r="C190" s="12">
        <f>Simulador!$C$8+Simulador!$C$5*B190</f>
        <v>93000</v>
      </c>
      <c r="D190" s="12">
        <f>IF(Simulador!$C$9="SIM",(D189+Simulador!$C$5)*(1+Simulador!$C$7),D189+Simulador!$C$5+D189*Simulador!$C$7)</f>
        <v>214331.70511004521</v>
      </c>
      <c r="E190" s="12">
        <f>D190*Simulador!$C$7</f>
        <v>1714.6536408803618</v>
      </c>
      <c r="F190" s="12">
        <f t="shared" si="2"/>
        <v>122302.35875092559</v>
      </c>
      <c r="G190" s="1"/>
    </row>
    <row r="191" spans="1:7" ht="18" customHeight="1" x14ac:dyDescent="0.3">
      <c r="A191" s="1"/>
      <c r="B191" s="11">
        <v>187</v>
      </c>
      <c r="C191" s="3">
        <f>Simulador!$C$8+Simulador!$C$5*B191</f>
        <v>93500</v>
      </c>
      <c r="D191" s="3">
        <f>IF(Simulador!$C$9="SIM",(D190+Simulador!$C$5)*(1+Simulador!$C$7),D190+Simulador!$C$5+D190*Simulador!$C$7)</f>
        <v>216550.35875092557</v>
      </c>
      <c r="E191" s="3">
        <f>D191*Simulador!$C$7</f>
        <v>1732.4028700074045</v>
      </c>
      <c r="F191" s="3">
        <f t="shared" si="2"/>
        <v>124034.76162093299</v>
      </c>
      <c r="G191" s="1"/>
    </row>
    <row r="192" spans="1:7" ht="18" customHeight="1" x14ac:dyDescent="0.3">
      <c r="A192" s="1"/>
      <c r="B192" s="8">
        <v>188</v>
      </c>
      <c r="C192" s="12">
        <f>Simulador!$C$8+Simulador!$C$5*B192</f>
        <v>94000</v>
      </c>
      <c r="D192" s="12">
        <f>IF(Simulador!$C$9="SIM",(D191+Simulador!$C$5)*(1+Simulador!$C$7),D191+Simulador!$C$5+D191*Simulador!$C$7)</f>
        <v>218786.76162093299</v>
      </c>
      <c r="E192" s="12">
        <f>D192*Simulador!$C$7</f>
        <v>1750.2940929674639</v>
      </c>
      <c r="F192" s="12">
        <f t="shared" si="2"/>
        <v>125785.05571390045</v>
      </c>
      <c r="G192" s="1"/>
    </row>
    <row r="193" spans="1:7" ht="18" customHeight="1" x14ac:dyDescent="0.3">
      <c r="A193" s="1"/>
      <c r="B193" s="11">
        <v>189</v>
      </c>
      <c r="C193" s="3">
        <f>Simulador!$C$8+Simulador!$C$5*B193</f>
        <v>94500</v>
      </c>
      <c r="D193" s="3">
        <f>IF(Simulador!$C$9="SIM",(D192+Simulador!$C$5)*(1+Simulador!$C$7),D192+Simulador!$C$5+D192*Simulador!$C$7)</f>
        <v>221041.05571390045</v>
      </c>
      <c r="E193" s="3">
        <f>D193*Simulador!$C$7</f>
        <v>1768.3284457112036</v>
      </c>
      <c r="F193" s="3">
        <f t="shared" si="2"/>
        <v>127553.38415961165</v>
      </c>
      <c r="G193" s="1"/>
    </row>
    <row r="194" spans="1:7" ht="18" customHeight="1" x14ac:dyDescent="0.3">
      <c r="A194" s="1"/>
      <c r="B194" s="8">
        <v>190</v>
      </c>
      <c r="C194" s="12">
        <f>Simulador!$C$8+Simulador!$C$5*B194</f>
        <v>95000</v>
      </c>
      <c r="D194" s="12">
        <f>IF(Simulador!$C$9="SIM",(D193+Simulador!$C$5)*(1+Simulador!$C$7),D193+Simulador!$C$5+D193*Simulador!$C$7)</f>
        <v>223313.38415961165</v>
      </c>
      <c r="E194" s="12">
        <f>D194*Simulador!$C$7</f>
        <v>1786.5070732768934</v>
      </c>
      <c r="F194" s="12">
        <f t="shared" si="2"/>
        <v>129339.89123288855</v>
      </c>
      <c r="G194" s="1"/>
    </row>
    <row r="195" spans="1:7" ht="18" customHeight="1" x14ac:dyDescent="0.3">
      <c r="A195" s="1"/>
      <c r="B195" s="11">
        <v>191</v>
      </c>
      <c r="C195" s="3">
        <f>Simulador!$C$8+Simulador!$C$5*B195</f>
        <v>95500</v>
      </c>
      <c r="D195" s="3">
        <f>IF(Simulador!$C$9="SIM",(D194+Simulador!$C$5)*(1+Simulador!$C$7),D194+Simulador!$C$5+D194*Simulador!$C$7)</f>
        <v>225603.89123288856</v>
      </c>
      <c r="E195" s="3">
        <f>D195*Simulador!$C$7</f>
        <v>1804.8311298631086</v>
      </c>
      <c r="F195" s="3">
        <f t="shared" si="2"/>
        <v>131144.72236275167</v>
      </c>
      <c r="G195" s="1"/>
    </row>
    <row r="196" spans="1:7" ht="18" customHeight="1" x14ac:dyDescent="0.3">
      <c r="A196" s="1"/>
      <c r="B196" s="8">
        <v>192</v>
      </c>
      <c r="C196" s="12">
        <f>Simulador!$C$8+Simulador!$C$5*B196</f>
        <v>96000</v>
      </c>
      <c r="D196" s="9">
        <f>IF(Simulador!$C$9="SIM",(D195+Simulador!$C$5)*(1+Simulador!$C$7),D195+Simulador!$C$5+D195*Simulador!$C$7)</f>
        <v>227912.72236275167</v>
      </c>
      <c r="E196" s="12">
        <f>D196*Simulador!$C$7</f>
        <v>1823.3017789020134</v>
      </c>
      <c r="F196" s="12">
        <f t="shared" si="2"/>
        <v>132968.02414165367</v>
      </c>
      <c r="G196" s="1"/>
    </row>
    <row r="197" spans="1:7" ht="18" customHeight="1" x14ac:dyDescent="0.3">
      <c r="A197" s="1"/>
      <c r="B197" s="11">
        <v>193</v>
      </c>
      <c r="C197" s="3">
        <f>Simulador!$C$8+Simulador!$C$5*B197</f>
        <v>96500</v>
      </c>
      <c r="D197" s="3">
        <f>IF(Simulador!$C$9="SIM",(D196+Simulador!$C$5)*(1+Simulador!$C$7),D196+Simulador!$C$5+D196*Simulador!$C$7)</f>
        <v>230240.02414165367</v>
      </c>
      <c r="E197" s="3">
        <f>D197*Simulador!$C$7</f>
        <v>1841.9201931332295</v>
      </c>
      <c r="F197" s="3">
        <f t="shared" si="2"/>
        <v>134809.94433478691</v>
      </c>
      <c r="G197" s="1"/>
    </row>
    <row r="198" spans="1:7" ht="18" customHeight="1" x14ac:dyDescent="0.3">
      <c r="A198" s="1"/>
      <c r="B198" s="8">
        <v>194</v>
      </c>
      <c r="C198" s="12">
        <f>Simulador!$C$8+Simulador!$C$5*B198</f>
        <v>97000</v>
      </c>
      <c r="D198" s="12">
        <f>IF(Simulador!$C$9="SIM",(D197+Simulador!$C$5)*(1+Simulador!$C$7),D197+Simulador!$C$5+D197*Simulador!$C$7)</f>
        <v>232585.94433478691</v>
      </c>
      <c r="E198" s="12">
        <f>D198*Simulador!$C$7</f>
        <v>1860.6875546782953</v>
      </c>
      <c r="F198" s="12">
        <f t="shared" ref="F198:F261" si="3">F197+E198</f>
        <v>136670.63188946521</v>
      </c>
      <c r="G198" s="1"/>
    </row>
    <row r="199" spans="1:7" ht="18" customHeight="1" x14ac:dyDescent="0.3">
      <c r="A199" s="1"/>
      <c r="B199" s="11">
        <v>195</v>
      </c>
      <c r="C199" s="3">
        <f>Simulador!$C$8+Simulador!$C$5*B199</f>
        <v>97500</v>
      </c>
      <c r="D199" s="3">
        <f>IF(Simulador!$C$9="SIM",(D198+Simulador!$C$5)*(1+Simulador!$C$7),D198+Simulador!$C$5+D198*Simulador!$C$7)</f>
        <v>234950.63188946521</v>
      </c>
      <c r="E199" s="3">
        <f>D199*Simulador!$C$7</f>
        <v>1879.6050551157216</v>
      </c>
      <c r="F199" s="3">
        <f t="shared" si="3"/>
        <v>138550.23694458092</v>
      </c>
      <c r="G199" s="1"/>
    </row>
    <row r="200" spans="1:7" ht="18" customHeight="1" x14ac:dyDescent="0.3">
      <c r="A200" s="1"/>
      <c r="B200" s="8">
        <v>196</v>
      </c>
      <c r="C200" s="12">
        <f>Simulador!$C$8+Simulador!$C$5*B200</f>
        <v>98000</v>
      </c>
      <c r="D200" s="12">
        <f>IF(Simulador!$C$9="SIM",(D199+Simulador!$C$5)*(1+Simulador!$C$7),D199+Simulador!$C$5+D199*Simulador!$C$7)</f>
        <v>237334.23694458092</v>
      </c>
      <c r="E200" s="12">
        <f>D200*Simulador!$C$7</f>
        <v>1898.6738955566473</v>
      </c>
      <c r="F200" s="12">
        <f t="shared" si="3"/>
        <v>140448.91084013757</v>
      </c>
      <c r="G200" s="1"/>
    </row>
    <row r="201" spans="1:7" ht="18" customHeight="1" x14ac:dyDescent="0.3">
      <c r="A201" s="1"/>
      <c r="B201" s="11">
        <v>197</v>
      </c>
      <c r="C201" s="3">
        <f>Simulador!$C$8+Simulador!$C$5*B201</f>
        <v>98500</v>
      </c>
      <c r="D201" s="3">
        <f>IF(Simulador!$C$9="SIM",(D200+Simulador!$C$5)*(1+Simulador!$C$7),D200+Simulador!$C$5+D200*Simulador!$C$7)</f>
        <v>239736.91084013757</v>
      </c>
      <c r="E201" s="3">
        <f>D201*Simulador!$C$7</f>
        <v>1917.8952867211005</v>
      </c>
      <c r="F201" s="3">
        <f t="shared" si="3"/>
        <v>142366.80612685866</v>
      </c>
      <c r="G201" s="1"/>
    </row>
    <row r="202" spans="1:7" ht="18" customHeight="1" x14ac:dyDescent="0.3">
      <c r="A202" s="1"/>
      <c r="B202" s="8">
        <v>198</v>
      </c>
      <c r="C202" s="12">
        <f>Simulador!$C$8+Simulador!$C$5*B202</f>
        <v>99000</v>
      </c>
      <c r="D202" s="12">
        <f>IF(Simulador!$C$9="SIM",(D201+Simulador!$C$5)*(1+Simulador!$C$7),D201+Simulador!$C$5+D201*Simulador!$C$7)</f>
        <v>242158.80612685866</v>
      </c>
      <c r="E202" s="12">
        <f>D202*Simulador!$C$7</f>
        <v>1937.2704490148694</v>
      </c>
      <c r="F202" s="12">
        <f t="shared" si="3"/>
        <v>144304.07657587354</v>
      </c>
      <c r="G202" s="1"/>
    </row>
    <row r="203" spans="1:7" ht="18" customHeight="1" x14ac:dyDescent="0.3">
      <c r="A203" s="1"/>
      <c r="B203" s="11">
        <v>199</v>
      </c>
      <c r="C203" s="3">
        <f>Simulador!$C$8+Simulador!$C$5*B203</f>
        <v>99500</v>
      </c>
      <c r="D203" s="3">
        <f>IF(Simulador!$C$9="SIM",(D202+Simulador!$C$5)*(1+Simulador!$C$7),D202+Simulador!$C$5+D202*Simulador!$C$7)</f>
        <v>244600.07657587354</v>
      </c>
      <c r="E203" s="3">
        <f>D203*Simulador!$C$7</f>
        <v>1956.8006126069884</v>
      </c>
      <c r="F203" s="3">
        <f t="shared" si="3"/>
        <v>146260.87718848052</v>
      </c>
      <c r="G203" s="1"/>
    </row>
    <row r="204" spans="1:7" ht="18" customHeight="1" x14ac:dyDescent="0.3">
      <c r="A204" s="1"/>
      <c r="B204" s="8">
        <v>200</v>
      </c>
      <c r="C204" s="12">
        <f>Simulador!$C$8+Simulador!$C$5*B204</f>
        <v>100000</v>
      </c>
      <c r="D204" s="12">
        <f>IF(Simulador!$C$9="SIM",(D203+Simulador!$C$5)*(1+Simulador!$C$7),D203+Simulador!$C$5+D203*Simulador!$C$7)</f>
        <v>247060.87718848052</v>
      </c>
      <c r="E204" s="12">
        <f>D204*Simulador!$C$7</f>
        <v>1976.4870175078443</v>
      </c>
      <c r="F204" s="12">
        <f t="shared" si="3"/>
        <v>148237.36420598836</v>
      </c>
      <c r="G204" s="1"/>
    </row>
    <row r="205" spans="1:7" ht="18" customHeight="1" x14ac:dyDescent="0.3">
      <c r="A205" s="1"/>
      <c r="B205" s="11">
        <v>201</v>
      </c>
      <c r="C205" s="3">
        <f>Simulador!$C$8+Simulador!$C$5*B205</f>
        <v>100500</v>
      </c>
      <c r="D205" s="3">
        <f>IF(Simulador!$C$9="SIM",(D204+Simulador!$C$5)*(1+Simulador!$C$7),D204+Simulador!$C$5+D204*Simulador!$C$7)</f>
        <v>249541.36420598836</v>
      </c>
      <c r="E205" s="3">
        <f>D205*Simulador!$C$7</f>
        <v>1996.330913647907</v>
      </c>
      <c r="F205" s="3">
        <f t="shared" si="3"/>
        <v>150233.69511963625</v>
      </c>
      <c r="G205" s="1"/>
    </row>
    <row r="206" spans="1:7" ht="18" customHeight="1" x14ac:dyDescent="0.3">
      <c r="A206" s="1"/>
      <c r="B206" s="8">
        <v>202</v>
      </c>
      <c r="C206" s="12">
        <f>Simulador!$C$8+Simulador!$C$5*B206</f>
        <v>101000</v>
      </c>
      <c r="D206" s="12">
        <f>IF(Simulador!$C$9="SIM",(D205+Simulador!$C$5)*(1+Simulador!$C$7),D205+Simulador!$C$5+D205*Simulador!$C$7)</f>
        <v>252041.69511963628</v>
      </c>
      <c r="E206" s="12">
        <f>D206*Simulador!$C$7</f>
        <v>2016.3335609570902</v>
      </c>
      <c r="F206" s="12">
        <f t="shared" si="3"/>
        <v>152250.02868059333</v>
      </c>
      <c r="G206" s="1"/>
    </row>
    <row r="207" spans="1:7" ht="18" customHeight="1" x14ac:dyDescent="0.3">
      <c r="A207" s="1"/>
      <c r="B207" s="11">
        <v>203</v>
      </c>
      <c r="C207" s="3">
        <f>Simulador!$C$8+Simulador!$C$5*B207</f>
        <v>101500</v>
      </c>
      <c r="D207" s="3">
        <f>IF(Simulador!$C$9="SIM",(D206+Simulador!$C$5)*(1+Simulador!$C$7),D206+Simulador!$C$5+D206*Simulador!$C$7)</f>
        <v>254562.02868059336</v>
      </c>
      <c r="E207" s="3">
        <f>D207*Simulador!$C$7</f>
        <v>2036.4962294447469</v>
      </c>
      <c r="F207" s="3">
        <f t="shared" si="3"/>
        <v>154286.52491003808</v>
      </c>
      <c r="G207" s="1"/>
    </row>
    <row r="208" spans="1:7" ht="18" customHeight="1" x14ac:dyDescent="0.3">
      <c r="A208" s="1"/>
      <c r="B208" s="8">
        <v>204</v>
      </c>
      <c r="C208" s="12">
        <f>Simulador!$C$8+Simulador!$C$5*B208</f>
        <v>102000</v>
      </c>
      <c r="D208" s="9">
        <f>IF(Simulador!$C$9="SIM",(D207+Simulador!$C$5)*(1+Simulador!$C$7),D207+Simulador!$C$5+D207*Simulador!$C$7)</f>
        <v>257102.5249100381</v>
      </c>
      <c r="E208" s="12">
        <f>D208*Simulador!$C$7</f>
        <v>2056.8201992803047</v>
      </c>
      <c r="F208" s="12">
        <f t="shared" si="3"/>
        <v>156343.34510931838</v>
      </c>
      <c r="G208" s="1"/>
    </row>
    <row r="209" spans="1:7" ht="18" customHeight="1" x14ac:dyDescent="0.3">
      <c r="A209" s="1"/>
      <c r="B209" s="11">
        <v>205</v>
      </c>
      <c r="C209" s="3">
        <f>Simulador!$C$8+Simulador!$C$5*B209</f>
        <v>102500</v>
      </c>
      <c r="D209" s="3">
        <f>IF(Simulador!$C$9="SIM",(D208+Simulador!$C$5)*(1+Simulador!$C$7),D208+Simulador!$C$5+D208*Simulador!$C$7)</f>
        <v>259663.34510931841</v>
      </c>
      <c r="E209" s="3">
        <f>D209*Simulador!$C$7</f>
        <v>2077.3067608745473</v>
      </c>
      <c r="F209" s="3">
        <f t="shared" si="3"/>
        <v>158420.65187019293</v>
      </c>
      <c r="G209" s="1"/>
    </row>
    <row r="210" spans="1:7" ht="18" customHeight="1" x14ac:dyDescent="0.3">
      <c r="A210" s="1"/>
      <c r="B210" s="8">
        <v>206</v>
      </c>
      <c r="C210" s="12">
        <f>Simulador!$C$8+Simulador!$C$5*B210</f>
        <v>103000</v>
      </c>
      <c r="D210" s="12">
        <f>IF(Simulador!$C$9="SIM",(D209+Simulador!$C$5)*(1+Simulador!$C$7),D209+Simulador!$C$5+D209*Simulador!$C$7)</f>
        <v>262244.65187019296</v>
      </c>
      <c r="E210" s="12">
        <f>D210*Simulador!$C$7</f>
        <v>2097.9572149615437</v>
      </c>
      <c r="F210" s="12">
        <f t="shared" si="3"/>
        <v>160518.60908515449</v>
      </c>
      <c r="G210" s="1"/>
    </row>
    <row r="211" spans="1:7" ht="18" customHeight="1" x14ac:dyDescent="0.3">
      <c r="A211" s="1"/>
      <c r="B211" s="11">
        <v>207</v>
      </c>
      <c r="C211" s="3">
        <f>Simulador!$C$8+Simulador!$C$5*B211</f>
        <v>103500</v>
      </c>
      <c r="D211" s="3">
        <f>IF(Simulador!$C$9="SIM",(D210+Simulador!$C$5)*(1+Simulador!$C$7),D210+Simulador!$C$5+D210*Simulador!$C$7)</f>
        <v>264846.60908515449</v>
      </c>
      <c r="E211" s="3">
        <f>D211*Simulador!$C$7</f>
        <v>2118.7728726812361</v>
      </c>
      <c r="F211" s="3">
        <f t="shared" si="3"/>
        <v>162637.38195783572</v>
      </c>
      <c r="G211" s="1"/>
    </row>
    <row r="212" spans="1:7" ht="18" customHeight="1" x14ac:dyDescent="0.3">
      <c r="A212" s="1"/>
      <c r="B212" s="8">
        <v>208</v>
      </c>
      <c r="C212" s="12">
        <f>Simulador!$C$8+Simulador!$C$5*B212</f>
        <v>104000</v>
      </c>
      <c r="D212" s="12">
        <f>IF(Simulador!$C$9="SIM",(D211+Simulador!$C$5)*(1+Simulador!$C$7),D211+Simulador!$C$5+D211*Simulador!$C$7)</f>
        <v>267469.38195783575</v>
      </c>
      <c r="E212" s="12">
        <f>D212*Simulador!$C$7</f>
        <v>2139.7550556626861</v>
      </c>
      <c r="F212" s="12">
        <f t="shared" si="3"/>
        <v>164777.1370134984</v>
      </c>
      <c r="G212" s="1"/>
    </row>
    <row r="213" spans="1:7" ht="18" customHeight="1" x14ac:dyDescent="0.3">
      <c r="A213" s="1"/>
      <c r="B213" s="11">
        <v>209</v>
      </c>
      <c r="C213" s="3">
        <f>Simulador!$C$8+Simulador!$C$5*B213</f>
        <v>104500</v>
      </c>
      <c r="D213" s="3">
        <f>IF(Simulador!$C$9="SIM",(D212+Simulador!$C$5)*(1+Simulador!$C$7),D212+Simulador!$C$5+D212*Simulador!$C$7)</f>
        <v>270113.13701349846</v>
      </c>
      <c r="E213" s="3">
        <f>D213*Simulador!$C$7</f>
        <v>2160.9050961079879</v>
      </c>
      <c r="F213" s="3">
        <f t="shared" si="3"/>
        <v>166938.04210960638</v>
      </c>
      <c r="G213" s="1"/>
    </row>
    <row r="214" spans="1:7" ht="18" customHeight="1" x14ac:dyDescent="0.3">
      <c r="A214" s="1"/>
      <c r="B214" s="8">
        <v>210</v>
      </c>
      <c r="C214" s="12">
        <f>Simulador!$C$8+Simulador!$C$5*B214</f>
        <v>105000</v>
      </c>
      <c r="D214" s="12">
        <f>IF(Simulador!$C$9="SIM",(D213+Simulador!$C$5)*(1+Simulador!$C$7),D213+Simulador!$C$5+D213*Simulador!$C$7)</f>
        <v>272778.04210960644</v>
      </c>
      <c r="E214" s="12">
        <f>D214*Simulador!$C$7</f>
        <v>2182.2243368768513</v>
      </c>
      <c r="F214" s="12">
        <f t="shared" si="3"/>
        <v>169120.26644648323</v>
      </c>
      <c r="G214" s="1"/>
    </row>
    <row r="215" spans="1:7" ht="18" customHeight="1" x14ac:dyDescent="0.3">
      <c r="A215" s="1"/>
      <c r="B215" s="11">
        <v>211</v>
      </c>
      <c r="C215" s="3">
        <f>Simulador!$C$8+Simulador!$C$5*B215</f>
        <v>105500</v>
      </c>
      <c r="D215" s="3">
        <f>IF(Simulador!$C$9="SIM",(D214+Simulador!$C$5)*(1+Simulador!$C$7),D214+Simulador!$C$5+D214*Simulador!$C$7)</f>
        <v>275464.26644648326</v>
      </c>
      <c r="E215" s="3">
        <f>D215*Simulador!$C$7</f>
        <v>2203.7141315718663</v>
      </c>
      <c r="F215" s="3">
        <f t="shared" si="3"/>
        <v>171323.98057805511</v>
      </c>
      <c r="G215" s="1"/>
    </row>
    <row r="216" spans="1:7" ht="18" customHeight="1" x14ac:dyDescent="0.3">
      <c r="A216" s="1"/>
      <c r="B216" s="8">
        <v>212</v>
      </c>
      <c r="C216" s="12">
        <f>Simulador!$C$8+Simulador!$C$5*B216</f>
        <v>106000</v>
      </c>
      <c r="D216" s="12">
        <f>IF(Simulador!$C$9="SIM",(D215+Simulador!$C$5)*(1+Simulador!$C$7),D215+Simulador!$C$5+D215*Simulador!$C$7)</f>
        <v>278171.98057805514</v>
      </c>
      <c r="E216" s="12">
        <f>D216*Simulador!$C$7</f>
        <v>2225.375844624441</v>
      </c>
      <c r="F216" s="12">
        <f t="shared" si="3"/>
        <v>173549.35642267956</v>
      </c>
      <c r="G216" s="1"/>
    </row>
    <row r="217" spans="1:7" ht="18" customHeight="1" x14ac:dyDescent="0.3">
      <c r="A217" s="1"/>
      <c r="B217" s="11">
        <v>213</v>
      </c>
      <c r="C217" s="3">
        <f>Simulador!$C$8+Simulador!$C$5*B217</f>
        <v>106500</v>
      </c>
      <c r="D217" s="3">
        <f>IF(Simulador!$C$9="SIM",(D216+Simulador!$C$5)*(1+Simulador!$C$7),D216+Simulador!$C$5+D216*Simulador!$C$7)</f>
        <v>280901.35642267956</v>
      </c>
      <c r="E217" s="3">
        <f>D217*Simulador!$C$7</f>
        <v>2247.2108513814364</v>
      </c>
      <c r="F217" s="3">
        <f t="shared" si="3"/>
        <v>175796.567274061</v>
      </c>
      <c r="G217" s="1"/>
    </row>
    <row r="218" spans="1:7" ht="18" customHeight="1" x14ac:dyDescent="0.3">
      <c r="A218" s="1"/>
      <c r="B218" s="8">
        <v>214</v>
      </c>
      <c r="C218" s="12">
        <f>Simulador!$C$8+Simulador!$C$5*B218</f>
        <v>107000</v>
      </c>
      <c r="D218" s="12">
        <f>IF(Simulador!$C$9="SIM",(D217+Simulador!$C$5)*(1+Simulador!$C$7),D217+Simulador!$C$5+D217*Simulador!$C$7)</f>
        <v>283652.56727406097</v>
      </c>
      <c r="E218" s="12">
        <f>D218*Simulador!$C$7</f>
        <v>2269.2205381924878</v>
      </c>
      <c r="F218" s="12">
        <f t="shared" si="3"/>
        <v>178065.78781225349</v>
      </c>
      <c r="G218" s="1"/>
    </row>
    <row r="219" spans="1:7" ht="18" customHeight="1" x14ac:dyDescent="0.3">
      <c r="A219" s="1"/>
      <c r="B219" s="11">
        <v>215</v>
      </c>
      <c r="C219" s="3">
        <f>Simulador!$C$8+Simulador!$C$5*B219</f>
        <v>107500</v>
      </c>
      <c r="D219" s="3">
        <f>IF(Simulador!$C$9="SIM",(D218+Simulador!$C$5)*(1+Simulador!$C$7),D218+Simulador!$C$5+D218*Simulador!$C$7)</f>
        <v>286425.78781225346</v>
      </c>
      <c r="E219" s="3">
        <f>D219*Simulador!$C$7</f>
        <v>2291.4063024980278</v>
      </c>
      <c r="F219" s="3">
        <f t="shared" si="3"/>
        <v>180357.19411475153</v>
      </c>
      <c r="G219" s="1"/>
    </row>
    <row r="220" spans="1:7" ht="18" customHeight="1" x14ac:dyDescent="0.3">
      <c r="A220" s="1"/>
      <c r="B220" s="8">
        <v>216</v>
      </c>
      <c r="C220" s="12">
        <f>Simulador!$C$8+Simulador!$C$5*B220</f>
        <v>108000</v>
      </c>
      <c r="D220" s="9">
        <f>IF(Simulador!$C$9="SIM",(D219+Simulador!$C$5)*(1+Simulador!$C$7),D219+Simulador!$C$5+D219*Simulador!$C$7)</f>
        <v>289221.19411475147</v>
      </c>
      <c r="E220" s="12">
        <f>D220*Simulador!$C$7</f>
        <v>2313.7695529180119</v>
      </c>
      <c r="F220" s="12">
        <f t="shared" si="3"/>
        <v>182670.96366766954</v>
      </c>
      <c r="G220" s="1"/>
    </row>
    <row r="221" spans="1:7" ht="18" customHeight="1" x14ac:dyDescent="0.3">
      <c r="A221" s="1"/>
      <c r="B221" s="11">
        <v>217</v>
      </c>
      <c r="C221" s="3">
        <f>Simulador!$C$8+Simulador!$C$5*B221</f>
        <v>108500</v>
      </c>
      <c r="D221" s="3">
        <f>IF(Simulador!$C$9="SIM",(D220+Simulador!$C$5)*(1+Simulador!$C$7),D220+Simulador!$C$5+D220*Simulador!$C$7)</f>
        <v>292038.96366766951</v>
      </c>
      <c r="E221" s="3">
        <f>D221*Simulador!$C$7</f>
        <v>2336.3117093413562</v>
      </c>
      <c r="F221" s="3">
        <f t="shared" si="3"/>
        <v>185007.2753770109</v>
      </c>
      <c r="G221" s="1"/>
    </row>
    <row r="222" spans="1:7" ht="18" customHeight="1" x14ac:dyDescent="0.3">
      <c r="A222" s="1"/>
      <c r="B222" s="8">
        <v>218</v>
      </c>
      <c r="C222" s="12">
        <f>Simulador!$C$8+Simulador!$C$5*B222</f>
        <v>109000</v>
      </c>
      <c r="D222" s="12">
        <f>IF(Simulador!$C$9="SIM",(D221+Simulador!$C$5)*(1+Simulador!$C$7),D221+Simulador!$C$5+D221*Simulador!$C$7)</f>
        <v>294879.27537701087</v>
      </c>
      <c r="E222" s="12">
        <f>D222*Simulador!$C$7</f>
        <v>2359.0342030160868</v>
      </c>
      <c r="F222" s="12">
        <f t="shared" si="3"/>
        <v>187366.30958002698</v>
      </c>
      <c r="G222" s="1"/>
    </row>
    <row r="223" spans="1:7" ht="18" customHeight="1" x14ac:dyDescent="0.3">
      <c r="A223" s="1"/>
      <c r="B223" s="11">
        <v>219</v>
      </c>
      <c r="C223" s="3">
        <f>Simulador!$C$8+Simulador!$C$5*B223</f>
        <v>109500</v>
      </c>
      <c r="D223" s="3">
        <f>IF(Simulador!$C$9="SIM",(D222+Simulador!$C$5)*(1+Simulador!$C$7),D222+Simulador!$C$5+D222*Simulador!$C$7)</f>
        <v>297742.30958002695</v>
      </c>
      <c r="E223" s="3">
        <f>D223*Simulador!$C$7</f>
        <v>2381.9384766402159</v>
      </c>
      <c r="F223" s="3">
        <f t="shared" si="3"/>
        <v>189748.24805666719</v>
      </c>
      <c r="G223" s="1"/>
    </row>
    <row r="224" spans="1:7" ht="18" customHeight="1" x14ac:dyDescent="0.3">
      <c r="A224" s="1"/>
      <c r="B224" s="8">
        <v>220</v>
      </c>
      <c r="C224" s="12">
        <f>Simulador!$C$8+Simulador!$C$5*B224</f>
        <v>110000</v>
      </c>
      <c r="D224" s="12">
        <f>IF(Simulador!$C$9="SIM",(D223+Simulador!$C$5)*(1+Simulador!$C$7),D223+Simulador!$C$5+D223*Simulador!$C$7)</f>
        <v>300628.24805666716</v>
      </c>
      <c r="E224" s="12">
        <f>D224*Simulador!$C$7</f>
        <v>2405.0259844533375</v>
      </c>
      <c r="F224" s="12">
        <f t="shared" si="3"/>
        <v>192153.27404112052</v>
      </c>
      <c r="G224" s="1"/>
    </row>
    <row r="225" spans="1:7" ht="18" customHeight="1" x14ac:dyDescent="0.3">
      <c r="A225" s="1"/>
      <c r="B225" s="11">
        <v>221</v>
      </c>
      <c r="C225" s="3">
        <f>Simulador!$C$8+Simulador!$C$5*B225</f>
        <v>110500</v>
      </c>
      <c r="D225" s="3">
        <f>IF(Simulador!$C$9="SIM",(D224+Simulador!$C$5)*(1+Simulador!$C$7),D224+Simulador!$C$5+D224*Simulador!$C$7)</f>
        <v>303537.27404112049</v>
      </c>
      <c r="E225" s="3">
        <f>D225*Simulador!$C$7</f>
        <v>2428.298192328964</v>
      </c>
      <c r="F225" s="3">
        <f t="shared" si="3"/>
        <v>194581.57223344949</v>
      </c>
      <c r="G225" s="1"/>
    </row>
    <row r="226" spans="1:7" ht="18" customHeight="1" x14ac:dyDescent="0.3">
      <c r="A226" s="1"/>
      <c r="B226" s="8">
        <v>222</v>
      </c>
      <c r="C226" s="12">
        <f>Simulador!$C$8+Simulador!$C$5*B226</f>
        <v>111000</v>
      </c>
      <c r="D226" s="12">
        <f>IF(Simulador!$C$9="SIM",(D225+Simulador!$C$5)*(1+Simulador!$C$7),D225+Simulador!$C$5+D225*Simulador!$C$7)</f>
        <v>306469.57223344943</v>
      </c>
      <c r="E226" s="12">
        <f>D226*Simulador!$C$7</f>
        <v>2451.7565778675958</v>
      </c>
      <c r="F226" s="12">
        <f t="shared" si="3"/>
        <v>197033.3288113171</v>
      </c>
      <c r="G226" s="1"/>
    </row>
    <row r="227" spans="1:7" ht="18" customHeight="1" x14ac:dyDescent="0.3">
      <c r="A227" s="1"/>
      <c r="B227" s="11">
        <v>223</v>
      </c>
      <c r="C227" s="3">
        <f>Simulador!$C$8+Simulador!$C$5*B227</f>
        <v>111500</v>
      </c>
      <c r="D227" s="3">
        <f>IF(Simulador!$C$9="SIM",(D226+Simulador!$C$5)*(1+Simulador!$C$7),D226+Simulador!$C$5+D226*Simulador!$C$7)</f>
        <v>309425.32881131704</v>
      </c>
      <c r="E227" s="3">
        <f>D227*Simulador!$C$7</f>
        <v>2475.4026304905365</v>
      </c>
      <c r="F227" s="3">
        <f t="shared" si="3"/>
        <v>199508.73144180764</v>
      </c>
      <c r="G227" s="1"/>
    </row>
    <row r="228" spans="1:7" ht="18" customHeight="1" x14ac:dyDescent="0.3">
      <c r="A228" s="1"/>
      <c r="B228" s="8">
        <v>224</v>
      </c>
      <c r="C228" s="12">
        <f>Simulador!$C$8+Simulador!$C$5*B228</f>
        <v>112000</v>
      </c>
      <c r="D228" s="12">
        <f>IF(Simulador!$C$9="SIM",(D227+Simulador!$C$5)*(1+Simulador!$C$7),D227+Simulador!$C$5+D227*Simulador!$C$7)</f>
        <v>312404.73144180758</v>
      </c>
      <c r="E228" s="12">
        <f>D228*Simulador!$C$7</f>
        <v>2499.2378515344608</v>
      </c>
      <c r="F228" s="12">
        <f t="shared" si="3"/>
        <v>202007.96929334209</v>
      </c>
      <c r="G228" s="1"/>
    </row>
    <row r="229" spans="1:7" ht="18" customHeight="1" x14ac:dyDescent="0.3">
      <c r="A229" s="1"/>
      <c r="B229" s="11">
        <v>225</v>
      </c>
      <c r="C229" s="3">
        <f>Simulador!$C$8+Simulador!$C$5*B229</f>
        <v>112500</v>
      </c>
      <c r="D229" s="3">
        <f>IF(Simulador!$C$9="SIM",(D228+Simulador!$C$5)*(1+Simulador!$C$7),D228+Simulador!$C$5+D228*Simulador!$C$7)</f>
        <v>315407.96929334203</v>
      </c>
      <c r="E229" s="3">
        <f>D229*Simulador!$C$7</f>
        <v>2523.2637543467363</v>
      </c>
      <c r="F229" s="3">
        <f t="shared" si="3"/>
        <v>204531.23304768882</v>
      </c>
      <c r="G229" s="1"/>
    </row>
    <row r="230" spans="1:7" ht="18" customHeight="1" x14ac:dyDescent="0.3">
      <c r="A230" s="1"/>
      <c r="B230" s="8">
        <v>226</v>
      </c>
      <c r="C230" s="12">
        <f>Simulador!$C$8+Simulador!$C$5*B230</f>
        <v>113000</v>
      </c>
      <c r="D230" s="12">
        <f>IF(Simulador!$C$9="SIM",(D229+Simulador!$C$5)*(1+Simulador!$C$7),D229+Simulador!$C$5+D229*Simulador!$C$7)</f>
        <v>318435.23304768879</v>
      </c>
      <c r="E230" s="12">
        <f>D230*Simulador!$C$7</f>
        <v>2547.4818643815101</v>
      </c>
      <c r="F230" s="12">
        <f t="shared" si="3"/>
        <v>207078.71491207034</v>
      </c>
      <c r="G230" s="1"/>
    </row>
    <row r="231" spans="1:7" ht="18" customHeight="1" x14ac:dyDescent="0.3">
      <c r="A231" s="1"/>
      <c r="B231" s="11">
        <v>227</v>
      </c>
      <c r="C231" s="3">
        <f>Simulador!$C$8+Simulador!$C$5*B231</f>
        <v>113500</v>
      </c>
      <c r="D231" s="3">
        <f>IF(Simulador!$C$9="SIM",(D230+Simulador!$C$5)*(1+Simulador!$C$7),D230+Simulador!$C$5+D230*Simulador!$C$7)</f>
        <v>321486.71491207031</v>
      </c>
      <c r="E231" s="3">
        <f>D231*Simulador!$C$7</f>
        <v>2571.8937192965627</v>
      </c>
      <c r="F231" s="3">
        <f t="shared" si="3"/>
        <v>209650.60863136689</v>
      </c>
      <c r="G231" s="1"/>
    </row>
    <row r="232" spans="1:7" ht="18" customHeight="1" x14ac:dyDescent="0.3">
      <c r="A232" s="1"/>
      <c r="B232" s="8">
        <v>228</v>
      </c>
      <c r="C232" s="12">
        <f>Simulador!$C$8+Simulador!$C$5*B232</f>
        <v>114000</v>
      </c>
      <c r="D232" s="9">
        <f>IF(Simulador!$C$9="SIM",(D231+Simulador!$C$5)*(1+Simulador!$C$7),D231+Simulador!$C$5+D231*Simulador!$C$7)</f>
        <v>324562.60863136686</v>
      </c>
      <c r="E232" s="12">
        <f>D232*Simulador!$C$7</f>
        <v>2596.5008690509349</v>
      </c>
      <c r="F232" s="12">
        <f t="shared" si="3"/>
        <v>212247.10950041784</v>
      </c>
      <c r="G232" s="1"/>
    </row>
    <row r="233" spans="1:7" ht="18" customHeight="1" x14ac:dyDescent="0.3">
      <c r="A233" s="1"/>
      <c r="B233" s="11">
        <v>229</v>
      </c>
      <c r="C233" s="3">
        <f>Simulador!$C$8+Simulador!$C$5*B233</f>
        <v>114500</v>
      </c>
      <c r="D233" s="3">
        <f>IF(Simulador!$C$9="SIM",(D232+Simulador!$C$5)*(1+Simulador!$C$7),D232+Simulador!$C$5+D232*Simulador!$C$7)</f>
        <v>327663.10950041778</v>
      </c>
      <c r="E233" s="3">
        <f>D233*Simulador!$C$7</f>
        <v>2621.3048760033421</v>
      </c>
      <c r="F233" s="3">
        <f t="shared" si="3"/>
        <v>214868.41437642119</v>
      </c>
      <c r="G233" s="1"/>
    </row>
    <row r="234" spans="1:7" ht="18" customHeight="1" x14ac:dyDescent="0.3">
      <c r="A234" s="1"/>
      <c r="B234" s="8">
        <v>230</v>
      </c>
      <c r="C234" s="12">
        <f>Simulador!$C$8+Simulador!$C$5*B234</f>
        <v>115000</v>
      </c>
      <c r="D234" s="12">
        <f>IF(Simulador!$C$9="SIM",(D233+Simulador!$C$5)*(1+Simulador!$C$7),D233+Simulador!$C$5+D233*Simulador!$C$7)</f>
        <v>330788.41437642113</v>
      </c>
      <c r="E234" s="12">
        <f>D234*Simulador!$C$7</f>
        <v>2646.3073150113692</v>
      </c>
      <c r="F234" s="12">
        <f t="shared" si="3"/>
        <v>217514.72169143255</v>
      </c>
      <c r="G234" s="1"/>
    </row>
    <row r="235" spans="1:7" ht="18" customHeight="1" x14ac:dyDescent="0.3">
      <c r="A235" s="1"/>
      <c r="B235" s="11">
        <v>231</v>
      </c>
      <c r="C235" s="3">
        <f>Simulador!$C$8+Simulador!$C$5*B235</f>
        <v>115500</v>
      </c>
      <c r="D235" s="3">
        <f>IF(Simulador!$C$9="SIM",(D234+Simulador!$C$5)*(1+Simulador!$C$7),D234+Simulador!$C$5+D234*Simulador!$C$7)</f>
        <v>333938.72169143253</v>
      </c>
      <c r="E235" s="3">
        <f>D235*Simulador!$C$7</f>
        <v>2671.5097735314603</v>
      </c>
      <c r="F235" s="3">
        <f t="shared" si="3"/>
        <v>220186.23146496402</v>
      </c>
      <c r="G235" s="1"/>
    </row>
    <row r="236" spans="1:7" ht="18" customHeight="1" x14ac:dyDescent="0.3">
      <c r="A236" s="1"/>
      <c r="B236" s="8">
        <v>232</v>
      </c>
      <c r="C236" s="12">
        <f>Simulador!$C$8+Simulador!$C$5*B236</f>
        <v>116000</v>
      </c>
      <c r="D236" s="12">
        <f>IF(Simulador!$C$9="SIM",(D235+Simulador!$C$5)*(1+Simulador!$C$7),D235+Simulador!$C$5+D235*Simulador!$C$7)</f>
        <v>337114.23146496399</v>
      </c>
      <c r="E236" s="12">
        <f>D236*Simulador!$C$7</f>
        <v>2696.9138517197121</v>
      </c>
      <c r="F236" s="12">
        <f t="shared" si="3"/>
        <v>222883.14531668372</v>
      </c>
      <c r="G236" s="1"/>
    </row>
    <row r="237" spans="1:7" ht="18" customHeight="1" x14ac:dyDescent="0.3">
      <c r="A237" s="1"/>
      <c r="B237" s="11">
        <v>233</v>
      </c>
      <c r="C237" s="3">
        <f>Simulador!$C$8+Simulador!$C$5*B237</f>
        <v>116500</v>
      </c>
      <c r="D237" s="3">
        <f>IF(Simulador!$C$9="SIM",(D236+Simulador!$C$5)*(1+Simulador!$C$7),D236+Simulador!$C$5+D236*Simulador!$C$7)</f>
        <v>340315.14531668369</v>
      </c>
      <c r="E237" s="3">
        <f>D237*Simulador!$C$7</f>
        <v>2722.5211625334696</v>
      </c>
      <c r="F237" s="3">
        <f t="shared" si="3"/>
        <v>225605.66647921718</v>
      </c>
      <c r="G237" s="1"/>
    </row>
    <row r="238" spans="1:7" ht="18" customHeight="1" x14ac:dyDescent="0.3">
      <c r="A238" s="1"/>
      <c r="B238" s="8">
        <v>234</v>
      </c>
      <c r="C238" s="12">
        <f>Simulador!$C$8+Simulador!$C$5*B238</f>
        <v>117000</v>
      </c>
      <c r="D238" s="12">
        <f>IF(Simulador!$C$9="SIM",(D237+Simulador!$C$5)*(1+Simulador!$C$7),D237+Simulador!$C$5+D237*Simulador!$C$7)</f>
        <v>343541.66647921718</v>
      </c>
      <c r="E238" s="12">
        <f>D238*Simulador!$C$7</f>
        <v>2748.3333318337377</v>
      </c>
      <c r="F238" s="12">
        <f t="shared" si="3"/>
        <v>228353.99981105092</v>
      </c>
      <c r="G238" s="1"/>
    </row>
    <row r="239" spans="1:7" ht="18" customHeight="1" x14ac:dyDescent="0.3">
      <c r="A239" s="1"/>
      <c r="B239" s="11">
        <v>235</v>
      </c>
      <c r="C239" s="3">
        <f>Simulador!$C$8+Simulador!$C$5*B239</f>
        <v>117500</v>
      </c>
      <c r="D239" s="3">
        <f>IF(Simulador!$C$9="SIM",(D238+Simulador!$C$5)*(1+Simulador!$C$7),D238+Simulador!$C$5+D238*Simulador!$C$7)</f>
        <v>346793.99981105095</v>
      </c>
      <c r="E239" s="3">
        <f>D239*Simulador!$C$7</f>
        <v>2774.3519984884078</v>
      </c>
      <c r="F239" s="3">
        <f t="shared" si="3"/>
        <v>231128.35180953934</v>
      </c>
      <c r="G239" s="1"/>
    </row>
    <row r="240" spans="1:7" ht="18" customHeight="1" x14ac:dyDescent="0.3">
      <c r="A240" s="1"/>
      <c r="B240" s="8">
        <v>236</v>
      </c>
      <c r="C240" s="12">
        <f>Simulador!$C$8+Simulador!$C$5*B240</f>
        <v>118000</v>
      </c>
      <c r="D240" s="12">
        <f>IF(Simulador!$C$9="SIM",(D239+Simulador!$C$5)*(1+Simulador!$C$7),D239+Simulador!$C$5+D239*Simulador!$C$7)</f>
        <v>350072.35180953937</v>
      </c>
      <c r="E240" s="12">
        <f>D240*Simulador!$C$7</f>
        <v>2800.5788144763151</v>
      </c>
      <c r="F240" s="12">
        <f t="shared" si="3"/>
        <v>233928.93062401566</v>
      </c>
      <c r="G240" s="1"/>
    </row>
    <row r="241" spans="1:7" ht="18" customHeight="1" x14ac:dyDescent="0.3">
      <c r="A241" s="1"/>
      <c r="B241" s="11">
        <v>237</v>
      </c>
      <c r="C241" s="3">
        <f>Simulador!$C$8+Simulador!$C$5*B241</f>
        <v>118500</v>
      </c>
      <c r="D241" s="3">
        <f>IF(Simulador!$C$9="SIM",(D240+Simulador!$C$5)*(1+Simulador!$C$7),D240+Simulador!$C$5+D240*Simulador!$C$7)</f>
        <v>353376.93062401569</v>
      </c>
      <c r="E241" s="3">
        <f>D241*Simulador!$C$7</f>
        <v>2827.0154449921256</v>
      </c>
      <c r="F241" s="3">
        <f t="shared" si="3"/>
        <v>236755.9460690078</v>
      </c>
      <c r="G241" s="1"/>
    </row>
    <row r="242" spans="1:7" ht="18" customHeight="1" x14ac:dyDescent="0.3">
      <c r="A242" s="1"/>
      <c r="B242" s="8">
        <v>238</v>
      </c>
      <c r="C242" s="12">
        <f>Simulador!$C$8+Simulador!$C$5*B242</f>
        <v>119000</v>
      </c>
      <c r="D242" s="12">
        <f>IF(Simulador!$C$9="SIM",(D241+Simulador!$C$5)*(1+Simulador!$C$7),D241+Simulador!$C$5+D241*Simulador!$C$7)</f>
        <v>356707.9460690078</v>
      </c>
      <c r="E242" s="12">
        <f>D242*Simulador!$C$7</f>
        <v>2853.6635685520623</v>
      </c>
      <c r="F242" s="12">
        <f t="shared" si="3"/>
        <v>239609.60963755986</v>
      </c>
      <c r="G242" s="1"/>
    </row>
    <row r="243" spans="1:7" ht="18" customHeight="1" x14ac:dyDescent="0.3">
      <c r="A243" s="1"/>
      <c r="B243" s="11">
        <v>239</v>
      </c>
      <c r="C243" s="3">
        <f>Simulador!$C$8+Simulador!$C$5*B243</f>
        <v>119500</v>
      </c>
      <c r="D243" s="3">
        <f>IF(Simulador!$C$9="SIM",(D242+Simulador!$C$5)*(1+Simulador!$C$7),D242+Simulador!$C$5+D242*Simulador!$C$7)</f>
        <v>360065.60963755986</v>
      </c>
      <c r="E243" s="3">
        <f>D243*Simulador!$C$7</f>
        <v>2880.524877100479</v>
      </c>
      <c r="F243" s="3">
        <f t="shared" si="3"/>
        <v>242490.13451466034</v>
      </c>
      <c r="G243" s="1"/>
    </row>
    <row r="244" spans="1:7" ht="18" customHeight="1" x14ac:dyDescent="0.3">
      <c r="A244" s="1"/>
      <c r="B244" s="8">
        <v>240</v>
      </c>
      <c r="C244" s="12">
        <f>Simulador!$C$8+Simulador!$C$5*B244</f>
        <v>120000</v>
      </c>
      <c r="D244" s="9">
        <f>IF(Simulador!$C$9="SIM",(D243+Simulador!$C$5)*(1+Simulador!$C$7),D243+Simulador!$C$5+D243*Simulador!$C$7)</f>
        <v>363450.13451466034</v>
      </c>
      <c r="E244" s="12">
        <f>D244*Simulador!$C$7</f>
        <v>2907.6010761172829</v>
      </c>
      <c r="F244" s="12">
        <f t="shared" si="3"/>
        <v>245397.73559077762</v>
      </c>
      <c r="G244" s="1"/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tabSelected="1" topLeftCell="A77" zoomScaleNormal="100" workbookViewId="0"/>
  </sheetViews>
  <sheetFormatPr defaultColWidth="8.6640625" defaultRowHeight="14.4" x14ac:dyDescent="0.3"/>
  <cols>
    <col min="1" max="7" width="22" customWidth="1"/>
  </cols>
  <sheetData>
    <row r="1" spans="1:2" ht="7.5" customHeight="1" x14ac:dyDescent="0.3">
      <c r="A1" s="13" t="s">
        <v>29</v>
      </c>
      <c r="B1" s="1"/>
    </row>
    <row r="2" spans="1:2" ht="49.5" customHeight="1" x14ac:dyDescent="0.3">
      <c r="A2" s="13" t="s">
        <v>30</v>
      </c>
      <c r="B2" s="1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</vt:lpstr>
      <vt:lpstr>Evolução Mensal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TARCISIO BARROS SANTOS</cp:lastModifiedBy>
  <cp:revision>1</cp:revision>
  <dcterms:created xsi:type="dcterms:W3CDTF">2026-06-25T12:55:12Z</dcterms:created>
  <dcterms:modified xsi:type="dcterms:W3CDTF">2026-06-25T13:17:08Z</dcterms:modified>
  <dc:language>en-US</dc:language>
</cp:coreProperties>
</file>